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re d'abord" sheetId="1" state="visible" r:id="rId3"/>
    <sheet name="Catalogue" sheetId="2" state="visible" r:id="rId4"/>
    <sheet name="Synthèse" sheetId="3" state="visible" r:id="rId5"/>
  </sheets>
  <definedNames>
    <definedName function="false" hidden="true" localSheetId="1" name="_xlnm._FilterDatabase" vbProcedure="false">Catalogue!$A$1:$M$150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<sst xmlns="http://schemas.openxmlformats.org/spreadsheetml/2006/main" count="1992" uniqueCount="1135">
  <si>
    <t xml:space="preserve">Catalogue d'indicateurs PPM — Waterfall / Agile / SAFe</t>
  </si>
  <si>
    <t xml:space="preserve">Document de référence pour le cadrage fonctionnel MARCEL. 149 indicateurs.</t>
  </si>
  <si>
    <t xml:space="preserve">Ce que ce document n'est pas</t>
  </si>
  <si>
    <t xml:space="preserve">Ce n'est pas une maquette de tableau de bord. Un dashboard exploitable comporte 8 à 15 indicateurs par niveau de lecture. Le catalogue sert à choisir, à paramétrer et à documenter, pas à afficher.</t>
  </si>
  <si>
    <t xml:space="preserve">Préalables techniques — sans eux, une partie du catalogue n'est pas calculable</t>
  </si>
  <si>
    <t xml:space="preserve">1. Historisation des transitions d'état. Tout indicateur de flux (cycle time, lead time, flow time, flow efficiency, WIP, âge des items, lead time des epics par état du Kanban portefeuille) exige de stocker chaque changement d'état avec son horodatage. Un modèle de données qui ne conserve que l'état courant rend ces indicateurs impossibles à produire a posteriori. C'est une décision de schéma, pas une fonctionnalité d'écran.</t>
  </si>
  <si>
    <t xml:space="preserve">2. Règle de valorisation de l'avancement. L'EVM (CPI, SPI, EV, TCPI) suppose une convention explicite par élément de WBS : 0/100, 50/50, jalons pondérés, ou pourcentage physique sur unités d'œuvre. Sans convention, l'EV est un chiffre déclaratif et tous les indices dérivés sont sans valeur.</t>
  </si>
  <si>
    <t xml:space="preserve">3. Fiabilité de la saisie des temps. En dessous d'environ 90% de taux de saisie dans les délais, tout indicateur de coût interne, de capacité et d'efficience est inexploitable. Cet indicateur (CAP-08) doit être affiché avant ceux qui en dépendent, pas après.</t>
  </si>
  <si>
    <t xml:space="preserve">4. Baselines historisées. Sans conservation des versions de budget et de planning, aucun écart n'est calculable de façon fiable et le rebaseline devient un moyen d'effacer la dérive.</t>
  </si>
  <si>
    <t xml:space="preserve">5. Instrumentation de l'usage. Les indicateurs de bénéfices et d'adoption exigent une mesure prévue avant la mise en service. Rétro-installer une mesure d'adoption après le go-live ne donne jamais de série exploitable.</t>
  </si>
  <si>
    <t xml:space="preserve">Agrégation portefeuille multi-méthodes</t>
  </si>
  <si>
    <t xml:space="preserve">Un portefeuille mixte waterfall / agile / SAFe n'a pas de dénominateur commun sur la performance d'exécution. La vélocité ne s'additionne pas avec le SPI. Les seules dimensions agrégeables sans perte de sens sont : l'argent (budget, engagé, atterrissage), les dates (jalons, atterrissage), le risque (exposition, criticité), la valeur (bénéfices, adoption) et la fiabilité du reporting. Toute tentative de produire un score de santé unique mélangeant des indicateurs de méthodes différentes produit un chiffre non interprétable.</t>
  </si>
  <si>
    <t xml:space="preserve">Effets de bord connus</t>
  </si>
  <si>
    <t xml:space="preserve">Chaque indicateur mesuré devient un objectif, et chaque objectif est optimisé, y compris contre son intention. La colonne « Piège / limite » documente le mode de contournement connu de chaque indicateur. Plusieurs indicateurs du catalogue n'ont de sens qu'en paire : taux de respect des jalons (PLA-05) avec stabilité des dates (PLA-07) ; say/do ratio (AGI-03) avec throughput (AGI-02) ; fréquence de déploiement (AGI-16) avec change failure rate (AGI-18) ; vélocité (AGI-01) avec stabilité d'équipe (AGI-23).</t>
  </si>
  <si>
    <t xml:space="preserve">Sources</t>
  </si>
  <si>
    <t xml:space="preserve">EVM et earned schedule : corpus PMI / ANSI-EIA-748. Contrôle qualité planning : DCMA 14-point assessment. Indicateurs DevOps : programme DORA. Flow metrics et Measure &amp; Grow : Scaled Agile Framework, framework.scaledagile.com. Les valeurs de référence citées en colonne « Lecture / seuil » sont des usages observés, pas des normes. À recalibrer sur l'historique de chaque organisation avant tout paramétrage de seuil.</t>
  </si>
  <si>
    <t xml:space="preserve">Point de version SAFe (vérifié le 15/08/2026)</t>
  </si>
  <si>
    <t xml:space="preserve">La dernière version majeure publiée reste SAFe 6.0 (2023). Scaled Agile a abandonné les releases majeures groupées au profit de mises à jour continues du knowledge base, migré vers framework.scaledagile.com, remplacé les sept core competencies par cinq SAFe Disciplines déclinées en competencies, et retiré les quatre configurations (Essential / Large Solution / Portfolio / Full SAFe) du Big Picture au profit d'un article « Customizing SAFe ». Conséquence directe pour le chantier 9 de MARCEL : positionner le module sur « Full SAFe » reprend une terminologie que l'éditeur a retirée de sa représentation de référence. Les objets (ART, PI, epic, feature, WSJF, PI Objectives) restent inchangés.</t>
  </si>
  <si>
    <t xml:space="preserve">ID</t>
  </si>
  <si>
    <t xml:space="preserve">Domaine</t>
  </si>
  <si>
    <t xml:space="preserve">Sous-domaine</t>
  </si>
  <si>
    <t xml:space="preserve">Indicateur</t>
  </si>
  <si>
    <t xml:space="preserve">Méthode</t>
  </si>
  <si>
    <t xml:space="preserve">Niveau</t>
  </si>
  <si>
    <t xml:space="preserve">Définition</t>
  </si>
  <si>
    <t xml:space="preserve">Formule / calcul</t>
  </si>
  <si>
    <t xml:space="preserve">Données source requises</t>
  </si>
  <si>
    <t xml:space="preserve">Fréquence</t>
  </si>
  <si>
    <t xml:space="preserve">Lecture / seuil</t>
  </si>
  <si>
    <t xml:space="preserve">Piège / limite</t>
  </si>
  <si>
    <t xml:space="preserve">Priorité MARCEL</t>
  </si>
  <si>
    <t xml:space="preserve">BUD-01</t>
  </si>
  <si>
    <t xml:space="preserve">Budget &amp; coûts</t>
  </si>
  <si>
    <t xml:space="preserve">Cadrage</t>
  </si>
  <si>
    <t xml:space="preserve">Budget initial approuvé (BAC)</t>
  </si>
  <si>
    <t xml:space="preserve">Transverse</t>
  </si>
  <si>
    <t xml:space="preserve">Projet</t>
  </si>
  <si>
    <t xml:space="preserve">Montant validé en instance d'engagement, figé comme référence de comparaison.</t>
  </si>
  <si>
    <t xml:space="preserve">Saisi (baseline figée)</t>
  </si>
  <si>
    <t xml:space="preserve">Décision COPIL/CODIR, fiche projet</t>
  </si>
  <si>
    <t xml:space="preserve">À l'engagement + à chaque rebaseline</t>
  </si>
  <si>
    <t xml:space="preserve">Doit être immuable ; toute évolution passe par un rebaseline tracé.</t>
  </si>
  <si>
    <t xml:space="preserve">Un BAC modifié en douce détruit rétroactivement tous les écarts. Historiser les versions.</t>
  </si>
  <si>
    <t xml:space="preserve">P1</t>
  </si>
  <si>
    <t xml:space="preserve">BUD-02</t>
  </si>
  <si>
    <t xml:space="preserve">Budget révisé</t>
  </si>
  <si>
    <t xml:space="preserve">Budget courant après avenants et rebaselines approuvés.</t>
  </si>
  <si>
    <t xml:space="preserve">BAC initial + Σ avenants approuvés</t>
  </si>
  <si>
    <t xml:space="preserve">Registre des changements</t>
  </si>
  <si>
    <t xml:space="preserve">Mensuelle</t>
  </si>
  <si>
    <t xml:space="preserve">Écart vs BAC initial = mesure de dérive de cadrage.</t>
  </si>
  <si>
    <t xml:space="preserve">Ne jamais fusionner avec le BAC initial dans la même colonne.</t>
  </si>
  <si>
    <t xml:space="preserve">BUD-03</t>
  </si>
  <si>
    <t xml:space="preserve">Nombre de rebaselines</t>
  </si>
  <si>
    <t xml:space="preserve">Compte des re-référencements budget et/ou planning depuis le lancement.</t>
  </si>
  <si>
    <t xml:space="preserve">COUNT(versions baseline)</t>
  </si>
  <si>
    <t xml:space="preserve">Historique baselines</t>
  </si>
  <si>
    <t xml:space="preserve">&gt;2 sur 12 mois = cadrage instable.</t>
  </si>
  <si>
    <t xml:space="preserve">Indicateur politiquement sensible : sert souvent à masquer la dérive plutôt qu'à la traiter.</t>
  </si>
  <si>
    <t xml:space="preserve">P2</t>
  </si>
  <si>
    <t xml:space="preserve">BUD-04</t>
  </si>
  <si>
    <t xml:space="preserve">Exécution</t>
  </si>
  <si>
    <t xml:space="preserve">Engagé (commitments)</t>
  </si>
  <si>
    <t xml:space="preserve">Montant contractuellement engagé (BC, commandes, contrats) qu'il soit facturé ou non.</t>
  </si>
  <si>
    <t xml:space="preserve">Σ commandes émises</t>
  </si>
  <si>
    <t xml:space="preserve">ERP achats / SI Finance</t>
  </si>
  <si>
    <t xml:space="preserve">Engagé &gt; budget = alerte immédiate.</t>
  </si>
  <si>
    <t xml:space="preserve">Souvent absent des outils PPM : sans interface achats, l'engagé est déclaratif donc faux.</t>
  </si>
  <si>
    <t xml:space="preserve">BUD-05</t>
  </si>
  <si>
    <t xml:space="preserve">Consommé / coût réel (AC)</t>
  </si>
  <si>
    <t xml:space="preserve">Coûts réellement constatés à date (facturé + provisions certaines).</t>
  </si>
  <si>
    <t xml:space="preserve">Σ factures + provisions</t>
  </si>
  <si>
    <t xml:space="preserve">SI Finance, timesheets valorisés</t>
  </si>
  <si>
    <t xml:space="preserve">À comparer à l'avancement physique, jamais au calendrier seul.</t>
  </si>
  <si>
    <t xml:space="preserve">Décalage de facturation de 1 à 3 mois : le consommé brut sous-estime toujours la réalité.</t>
  </si>
  <si>
    <t xml:space="preserve">BUD-06</t>
  </si>
  <si>
    <t xml:space="preserve">Reste à engager (RAE)</t>
  </si>
  <si>
    <t xml:space="preserve">Part du budget non encore couverte par une commande.</t>
  </si>
  <si>
    <t xml:space="preserve">Budget révisé − Engagé</t>
  </si>
  <si>
    <t xml:space="preserve">ERP achats</t>
  </si>
  <si>
    <t xml:space="preserve">RAE élevé en fin de projet = risque de report ou de non-consommation.</t>
  </si>
  <si>
    <t xml:space="preserve">Confondu avec le reste à faire : ce sont deux choses distinctes.</t>
  </si>
  <si>
    <t xml:space="preserve">BUD-07</t>
  </si>
  <si>
    <t xml:space="preserve">Prévision</t>
  </si>
  <si>
    <t xml:space="preserve">Reste à faire (ETC)</t>
  </si>
  <si>
    <t xml:space="preserve">Coût prévisionnel des travaux restants, ré-estimé (pas déduit).</t>
  </si>
  <si>
    <t xml:space="preserve">Ré-estimation bottom-up, ou (BAC − EV)/CPI</t>
  </si>
  <si>
    <t xml:space="preserve">Fiches projet, CP</t>
  </si>
  <si>
    <t xml:space="preserve">Ré-estimation bottom-up obligatoire au moins trimestriellement.</t>
  </si>
  <si>
    <t xml:space="preserve">La formule (BAC−EV)/CPI suppose que la performance passée se reproduit. Faux après changement d'équipe ou de périmètre.</t>
  </si>
  <si>
    <t xml:space="preserve">BUD-08</t>
  </si>
  <si>
    <t xml:space="preserve">Atterrissage (EAC)</t>
  </si>
  <si>
    <t xml:space="preserve">Coût total prévisionnel à l'achèvement.</t>
  </si>
  <si>
    <t xml:space="preserve">EAC = AC + ETC ; variantes : BAC/CPI ; AC+(BAC−EV)/(CPI×SPI)</t>
  </si>
  <si>
    <t xml:space="preserve">AC, EV, ETC</t>
  </si>
  <si>
    <t xml:space="preserve">Publier la méthode retenue à côté du chiffre.</t>
  </si>
  <si>
    <t xml:space="preserve">Trois formules donnent trois résultats. Sans méthode affichée, l'EAC est ininterprétable.</t>
  </si>
  <si>
    <t xml:space="preserve">BUD-09</t>
  </si>
  <si>
    <t xml:space="preserve">Écart à l'achèvement (VAC)</t>
  </si>
  <si>
    <t xml:space="preserve">Écart prévisionnel entre budget et atterrissage.</t>
  </si>
  <si>
    <t xml:space="preserve">VAC = BAC − EAC ; VAC% = VAC/BAC</t>
  </si>
  <si>
    <t xml:space="preserve">BAC, EAC</t>
  </si>
  <si>
    <t xml:space="preserve">Seuil RAG usuel : vert &lt;5%, orange 5-10%, rouge &gt;10%.</t>
  </si>
  <si>
    <t xml:space="preserve">Le RAG doit porter sur l'atterrissage, pas sur le consommé.</t>
  </si>
  <si>
    <t xml:space="preserve">BUD-10</t>
  </si>
  <si>
    <t xml:space="preserve">Performance</t>
  </si>
  <si>
    <t xml:space="preserve">CPI (indice de performance coût)</t>
  </si>
  <si>
    <t xml:space="preserve">Waterfall</t>
  </si>
  <si>
    <t xml:space="preserve">Efficience du coût : valeur acquise par euro dépensé.</t>
  </si>
  <si>
    <t xml:space="preserve">CPI = EV / AC</t>
  </si>
  <si>
    <t xml:space="preserve">EV, AC</t>
  </si>
  <si>
    <t xml:space="preserve">&lt;0,9 = dérive coût confirmée.</t>
  </si>
  <si>
    <t xml:space="preserve">Sans règle de valorisation de l'avancement (0/100, 50/50, % physique), l'EV est déclaratif et le CPI est une fiction.</t>
  </si>
  <si>
    <t xml:space="preserve">BUD-11</t>
  </si>
  <si>
    <t xml:space="preserve">CV (écart de coût)</t>
  </si>
  <si>
    <t xml:space="preserve">Écart absolu entre valeur acquise et coût réel.</t>
  </si>
  <si>
    <t xml:space="preserve">CV = EV − AC</t>
  </si>
  <si>
    <t xml:space="preserve">Négatif = surcoût à date.</t>
  </si>
  <si>
    <t xml:space="preserve">Un CV en valeur absolue n'est pas comparable entre projets de tailles différentes.</t>
  </si>
  <si>
    <t xml:space="preserve">BUD-12</t>
  </si>
  <si>
    <t xml:space="preserve">TCPI</t>
  </si>
  <si>
    <t xml:space="preserve">Performance coût à tenir sur le reste pour atterrir sur la cible.</t>
  </si>
  <si>
    <t xml:space="preserve">TCPI = (BAC−EV)/(BAC−AC) ou (BAC−EV)/(EAC−AC)</t>
  </si>
  <si>
    <t xml:space="preserve">BAC, EV, AC, EAC</t>
  </si>
  <si>
    <t xml:space="preserve">&gt;1,1 = objectif budgétaire irréaliste sans action.</t>
  </si>
  <si>
    <t xml:space="preserve">Indicateur peu lu en COPIL ; utile surtout pour objectiver un refus de rallonge.</t>
  </si>
  <si>
    <t xml:space="preserve">P3</t>
  </si>
  <si>
    <t xml:space="preserve">BUD-13</t>
  </si>
  <si>
    <t xml:space="preserve">Taux de consommation budgétaire</t>
  </si>
  <si>
    <t xml:space="preserve">Part du budget consommée à date.</t>
  </si>
  <si>
    <t xml:space="preserve">AC / Budget révisé</t>
  </si>
  <si>
    <t xml:space="preserve">AC, budget</t>
  </si>
  <si>
    <t xml:space="preserve">À croiser systématiquement avec l'avancement physique.</t>
  </si>
  <si>
    <t xml:space="preserve">Seul, cet indicateur ne dit rien. 60% consommé pour 30% d'avancement ≠ 60% pour 70%.</t>
  </si>
  <si>
    <t xml:space="preserve">BUD-14</t>
  </si>
  <si>
    <t xml:space="preserve">Burn rate</t>
  </si>
  <si>
    <t xml:space="preserve">Rythme de consommation mensuel.</t>
  </si>
  <si>
    <t xml:space="preserve">AC(m) − AC(m−1) ; moyenne glissante 3 mois</t>
  </si>
  <si>
    <t xml:space="preserve">AC mensuel</t>
  </si>
  <si>
    <t xml:space="preserve">Une rupture de burn rate précède presque toujours une dérive planning.</t>
  </si>
  <si>
    <t xml:space="preserve">Bruité par les décalages de facturation : lisser sur 3 mois minimum.</t>
  </si>
  <si>
    <t xml:space="preserve">BUD-15</t>
  </si>
  <si>
    <t xml:space="preserve">Runway budgétaire</t>
  </si>
  <si>
    <t xml:space="preserve">Nombre de mois de budget restant au rythme actuel.</t>
  </si>
  <si>
    <t xml:space="preserve">(Budget révisé − AC) / burn rate moyen</t>
  </si>
  <si>
    <t xml:space="preserve">Runway &lt; durée résiduelle planning = alerte.</t>
  </si>
  <si>
    <t xml:space="preserve">Suppose un burn rate constant, faux en phase de recette (pic de charge).</t>
  </si>
  <si>
    <t xml:space="preserve">BUD-16</t>
  </si>
  <si>
    <t xml:space="preserve">Structure</t>
  </si>
  <si>
    <t xml:space="preserve">Répartition CAPEX / OPEX</t>
  </si>
  <si>
    <t xml:space="preserve">Projet/Portefeuille</t>
  </si>
  <si>
    <t xml:space="preserve">Ventilation du budget entre investissement immobilisable et charge.</t>
  </si>
  <si>
    <t xml:space="preserve">CAPEX / (CAPEX+OPEX)</t>
  </si>
  <si>
    <t xml:space="preserve">Plan de comptes, règles d'activation</t>
  </si>
  <si>
    <t xml:space="preserve">Suivre l'écart vs cible fixée par la DAF.</t>
  </si>
  <si>
    <t xml:space="preserve">Les règles d'activation varient par entreprise et par nature de coût. Ne jamais présumer une règle générique.</t>
  </si>
  <si>
    <t xml:space="preserve">BUD-17</t>
  </si>
  <si>
    <t xml:space="preserve">Taux de capitalisation effectif</t>
  </si>
  <si>
    <t xml:space="preserve">Portefeuille</t>
  </si>
  <si>
    <t xml:space="preserve">Part des coûts effectivement immobilisés vs éligibles.</t>
  </si>
  <si>
    <t xml:space="preserve">CAPEX activé / CAPEX éligible</t>
  </si>
  <si>
    <t xml:space="preserve">Compta immobilisations</t>
  </si>
  <si>
    <t xml:space="preserve">Trimestrielle</t>
  </si>
  <si>
    <t xml:space="preserve">Écart = perte de capacité d'investissement.</t>
  </si>
  <si>
    <t xml:space="preserve">Dépend de la traçabilité des temps par phase. Sans timesheets fiables, non calculable.</t>
  </si>
  <si>
    <t xml:space="preserve">BUD-18</t>
  </si>
  <si>
    <t xml:space="preserve">Ratio coûts internes / externes</t>
  </si>
  <si>
    <t xml:space="preserve">Répartition de la dépense entre ETP internes valorisés et prestation.</t>
  </si>
  <si>
    <t xml:space="preserve">Coût externe / coût total</t>
  </si>
  <si>
    <t xml:space="preserve">Timesheets, factures presta</t>
  </si>
  <si>
    <t xml:space="preserve">Dérive vers l'externe = risque de dépendance et de coût récurrent.</t>
  </si>
  <si>
    <t xml:space="preserve">La valorisation des internes est souvent conventionnelle : ne pas la présenter comme un coût cash.</t>
  </si>
  <si>
    <t xml:space="preserve">BUD-19</t>
  </si>
  <si>
    <t xml:space="preserve">TJM moyen pondéré</t>
  </si>
  <si>
    <t xml:space="preserve">Coût journalier moyen des prestataires, pondéré par le volume de jours.</t>
  </si>
  <si>
    <t xml:space="preserve">Σ(TJM×jours) / Σjours</t>
  </si>
  <si>
    <t xml:space="preserve">Contrats, commandes</t>
  </si>
  <si>
    <t xml:space="preserve">Utile pour benchmark et négociation cadre.</t>
  </si>
  <si>
    <t xml:space="preserve">Moyenne trompeuse si mélange de profils (junior/expert/architecte). Ventiler par profil.</t>
  </si>
  <si>
    <t xml:space="preserve">BUD-20</t>
  </si>
  <si>
    <t xml:space="preserve">Biais de prévision (forecast bias)</t>
  </si>
  <si>
    <t xml:space="preserve">Écart systématique entre atterrissage annoncé et réalisé.</t>
  </si>
  <si>
    <t xml:space="preserve">Moyenne(EAC(m) − réalisé final) sur historique</t>
  </si>
  <si>
    <t xml:space="preserve">Historique EAC</t>
  </si>
  <si>
    <t xml:space="preserve">Biais persistant = problème de process, pas de projet.</t>
  </si>
  <si>
    <t xml:space="preserve">Le plus révélateur des indicateurs budget, et le seul que personne ne veut publier.</t>
  </si>
  <si>
    <t xml:space="preserve">BUD-21</t>
  </si>
  <si>
    <t xml:space="preserve">Aléas</t>
  </si>
  <si>
    <t xml:space="preserve">Consommation de la provision pour aléas</t>
  </si>
  <si>
    <t xml:space="preserve">Projet/Programme</t>
  </si>
  <si>
    <t xml:space="preserve">Part de la contingency utilisée rapportée à l'avancement.</t>
  </si>
  <si>
    <t xml:space="preserve">Contingency consommée / contingency initiale</t>
  </si>
  <si>
    <t xml:space="preserve">Registre aléas</t>
  </si>
  <si>
    <t xml:space="preserve">Consommation &gt; avancement = épuisement précoce.</t>
  </si>
  <si>
    <t xml:space="preserve">Souvent utilisée comme variable d'ajustement pour masquer les dépassements de scope.</t>
  </si>
  <si>
    <t xml:space="preserve">BUD-22</t>
  </si>
  <si>
    <t xml:space="preserve">Couverture de l'exposition risque</t>
  </si>
  <si>
    <t xml:space="preserve">Capacité de la provision à absorber l'exposition financière des risques.</t>
  </si>
  <si>
    <t xml:space="preserve">Provision restante / exposition résiduelle</t>
  </si>
  <si>
    <t xml:space="preserve">Registre risques, aléas</t>
  </si>
  <si>
    <t xml:space="preserve">&lt;1 = risque non couvert financièrement.</t>
  </si>
  <si>
    <t xml:space="preserve">Suppose une valorisation € des risques, rarement faite sérieusement.</t>
  </si>
  <si>
    <t xml:space="preserve">BUD-23</t>
  </si>
  <si>
    <t xml:space="preserve">Valeur</t>
  </si>
  <si>
    <t xml:space="preserve">Coût unitaire de livraison</t>
  </si>
  <si>
    <t xml:space="preserve">Agile/SAFe</t>
  </si>
  <si>
    <t xml:space="preserve">Équipe/ART</t>
  </si>
  <si>
    <t xml:space="preserve">Coût moyen d'une unité livrée (feature, story point).</t>
  </si>
  <si>
    <t xml:space="preserve">Coût période / unités livrées période</t>
  </si>
  <si>
    <t xml:space="preserve">Coûts, items livrés</t>
  </si>
  <si>
    <t xml:space="preserve">À usage de tendance interne uniquement.</t>
  </si>
  <si>
    <t xml:space="preserve">Indicateur facilement manipulable (inflation de l'estimation). Ne jamais comparer entre équipes.</t>
  </si>
  <si>
    <t xml:space="preserve">BUD-24</t>
  </si>
  <si>
    <t xml:space="preserve">TCO projeté (build + run)</t>
  </si>
  <si>
    <t xml:space="preserve">Coût total sur horizon 3 à 5 ans, incluant le run induit.</t>
  </si>
  <si>
    <t xml:space="preserve">Build + Σ(run annuel × N)</t>
  </si>
  <si>
    <t xml:space="preserve">Business case, DSI run</t>
  </si>
  <si>
    <t xml:space="preserve">À l'engagement + annuelle</t>
  </si>
  <si>
    <t xml:space="preserve">Un projet dont le run dépasse le build en 3 ans mérite un arbitrage explicite.</t>
  </si>
  <si>
    <t xml:space="preserve">Le run induit est quasi systématiquement sous-estimé ou omis du business case.</t>
  </si>
  <si>
    <t xml:space="preserve">BUD-25</t>
  </si>
  <si>
    <t xml:space="preserve">Run rate induit</t>
  </si>
  <si>
    <t xml:space="preserve">Charge OPEX récurrente annuelle générée par la mise en service.</t>
  </si>
  <si>
    <t xml:space="preserve">Licences + infra + support + maintenance annuels</t>
  </si>
  <si>
    <t xml:space="preserve">Business case, contrats</t>
  </si>
  <si>
    <t xml:space="preserve">À l'engagement</t>
  </si>
  <si>
    <t xml:space="preserve">Doit être accepté formellement par le budget run avant go-live.</t>
  </si>
  <si>
    <t xml:space="preserve">Angle mort classique : le projet est vert, le budget run explose l'année suivante.</t>
  </si>
  <si>
    <t xml:space="preserve">BUD-26</t>
  </si>
  <si>
    <t xml:space="preserve">Taux d'engagement du budget voté</t>
  </si>
  <si>
    <t xml:space="preserve">Part du budget annuel effectivement engagée à date.</t>
  </si>
  <si>
    <t xml:space="preserve">Engagé portefeuille / budget voté</t>
  </si>
  <si>
    <t xml:space="preserve">ERP, budget</t>
  </si>
  <si>
    <t xml:space="preserve">Courbe cible vs réel ; sous-engagement au S1 = risque de perte en fin d'exercice.</t>
  </si>
  <si>
    <t xml:space="preserve">Un taux élevé n'indique pas la performance : on peut engager vite et mal.</t>
  </si>
  <si>
    <t xml:space="preserve">BUD-27</t>
  </si>
  <si>
    <t xml:space="preserve">Dépense par axe stratégique</t>
  </si>
  <si>
    <t xml:space="preserve">Ventilation du budget par thème stratégique / value stream.</t>
  </si>
  <si>
    <t xml:space="preserve">Σ coûts par axe / total</t>
  </si>
  <si>
    <t xml:space="preserve">Taxonomie portefeuille</t>
  </si>
  <si>
    <t xml:space="preserve">Écart vs allocation cible = désalignement d'investissement.</t>
  </si>
  <si>
    <t xml:space="preserve">Suppose une taxonomie stable et mutuellement exclusive, rarement le cas.</t>
  </si>
  <si>
    <t xml:space="preserve">BUD-28</t>
  </si>
  <si>
    <t xml:space="preserve">Répartition Run / Change / Réglementaire</t>
  </si>
  <si>
    <t xml:space="preserve">Ventilation de l'investissement par nature.</t>
  </si>
  <si>
    <t xml:space="preserve">Σ budget par catégorie / total</t>
  </si>
  <si>
    <t xml:space="preserve">Catégorisation projets</t>
  </si>
  <si>
    <t xml:space="preserve">Part réglementaire croissante = compression de la capacité d'innovation.</t>
  </si>
  <si>
    <t xml:space="preserve">Les frontières sont politiques : requalifier un projet en réglementaire est un sport interne.</t>
  </si>
  <si>
    <t xml:space="preserve">CAP-01</t>
  </si>
  <si>
    <t xml:space="preserve">Capacité &amp; ressources</t>
  </si>
  <si>
    <t xml:space="preserve">Capacité</t>
  </si>
  <si>
    <t xml:space="preserve">Capacité nominale</t>
  </si>
  <si>
    <t xml:space="preserve">Volume théorique de jours disponibles sur la période.</t>
  </si>
  <si>
    <t xml:space="preserve">Σ ETP × jours ouvrés période</t>
  </si>
  <si>
    <t xml:space="preserve">Référentiel RH, calendrier</t>
  </si>
  <si>
    <t xml:space="preserve">Point de départ, jamais une capacité réelle.</t>
  </si>
  <si>
    <t xml:space="preserve">Utiliser la nominale pour planifier garantit la surcharge.</t>
  </si>
  <si>
    <t xml:space="preserve">CAP-02</t>
  </si>
  <si>
    <t xml:space="preserve">Capacité nette</t>
  </si>
  <si>
    <t xml:space="preserve">Capacité réellement projetable après déductions.</t>
  </si>
  <si>
    <t xml:space="preserve">Nominale − congés − formation − absentéisme − run/support − réunions transverses</t>
  </si>
  <si>
    <t xml:space="preserve">RH, historique</t>
  </si>
  <si>
    <t xml:space="preserve">Abattement observé usuel : 20 à 35% selon les organisations. À calibrer sur l'historique local, pas sur un ratio générique.</t>
  </si>
  <si>
    <t xml:space="preserve">Le taux d'abattement doit être mesuré sur l'historique de l'entité, pas repris d'un benchmark.</t>
  </si>
  <si>
    <t xml:space="preserve">CAP-03</t>
  </si>
  <si>
    <t xml:space="preserve">Charge</t>
  </si>
  <si>
    <t xml:space="preserve">Charge planifiée</t>
  </si>
  <si>
    <t xml:space="preserve">Somme des besoins exprimés par les projets sur la période.</t>
  </si>
  <si>
    <t xml:space="preserve">Σ jours demandés par projet et par profil</t>
  </si>
  <si>
    <t xml:space="preserve">Plans de charge projets</t>
  </si>
  <si>
    <t xml:space="preserve">À comparer à la capacité nette, par profil.</t>
  </si>
  <si>
    <t xml:space="preserve">Agréger tous profils confondus masque les goulots (un seul architecte saturé bloque 10 projets).</t>
  </si>
  <si>
    <t xml:space="preserve">CAP-04</t>
  </si>
  <si>
    <t xml:space="preserve">Taux de charge</t>
  </si>
  <si>
    <t xml:space="preserve">Équipe/Portefeuille</t>
  </si>
  <si>
    <t xml:space="preserve">Rapport entre charge planifiée et capacité nette.</t>
  </si>
  <si>
    <t xml:space="preserve">Charge planifiée / capacité nette</t>
  </si>
  <si>
    <t xml:space="preserve">CAP-02, CAP-03</t>
  </si>
  <si>
    <t xml:space="preserve">&gt;100% = surengagement structurel. &gt;85% dégrade déjà les délais (files d'attente).</t>
  </si>
  <si>
    <t xml:space="preserve">Viser 100% est une erreur : au-delà de ~85% le temps d'attente croît de façon non linéaire.</t>
  </si>
  <si>
    <t xml:space="preserve">CAP-05</t>
  </si>
  <si>
    <t xml:space="preserve">Ressources en surcharge</t>
  </si>
  <si>
    <t xml:space="preserve">Nombre et part de personnes affectées au-delà de 100%.</t>
  </si>
  <si>
    <t xml:space="preserve">COUNT(affectation &gt; 100%) / effectif</t>
  </si>
  <si>
    <t xml:space="preserve">Affectations</t>
  </si>
  <si>
    <t xml:space="preserve">Liste nominative en annexe COPIL, pas en plénière.</t>
  </si>
  <si>
    <t xml:space="preserve">Une surcharge dans l'outil peut refléter une double saisie plutôt qu'une surcharge réelle.</t>
  </si>
  <si>
    <t xml:space="preserve">CAP-06</t>
  </si>
  <si>
    <t xml:space="preserve">Fragmentation (multi-affectation)</t>
  </si>
  <si>
    <t xml:space="preserve">Nombre moyen de projets par personne sur la période.</t>
  </si>
  <si>
    <t xml:space="preserve">Σ affectations / nb personnes affectées</t>
  </si>
  <si>
    <t xml:space="preserve">&gt;3 projets simultanés = perte d'efficacité mesurable par changement de contexte.</t>
  </si>
  <si>
    <t xml:space="preserve">Indicateur systématiquement ignoré alors qu'il explique une large part des retards.</t>
  </si>
  <si>
    <t xml:space="preserve">CAP-07</t>
  </si>
  <si>
    <t xml:space="preserve">Utilisation</t>
  </si>
  <si>
    <t xml:space="preserve">Taux d'occupation facturable</t>
  </si>
  <si>
    <t xml:space="preserve">Équipe</t>
  </si>
  <si>
    <t xml:space="preserve">Part du temps imputé sur des projets vs indirect.</t>
  </si>
  <si>
    <t xml:space="preserve">Jours projets / jours travaillés</t>
  </si>
  <si>
    <t xml:space="preserve">Timesheets</t>
  </si>
  <si>
    <t xml:space="preserve">Dépend du modèle interne ; suivre la tendance.</t>
  </si>
  <si>
    <t xml:space="preserve">Pousser ce taux vers 100% supprime la capacité d'amélioration et d'imprévu.</t>
  </si>
  <si>
    <t xml:space="preserve">CAP-08</t>
  </si>
  <si>
    <t xml:space="preserve">Fiabilité</t>
  </si>
  <si>
    <t xml:space="preserve">Taux de saisie des temps</t>
  </si>
  <si>
    <t xml:space="preserve">Part des collaborateurs ayant saisi leurs temps dans les délais.</t>
  </si>
  <si>
    <t xml:space="preserve">Saisies complètes / attendues</t>
  </si>
  <si>
    <t xml:space="preserve">Outil timesheet</t>
  </si>
  <si>
    <t xml:space="preserve">&lt;90% = tous les indicateurs dérivés sont inexploitables.</t>
  </si>
  <si>
    <t xml:space="preserve">Préalable technique à BUD-05, BUD-17, CAP-07, EFF-01. À afficher avant eux, pas après.</t>
  </si>
  <si>
    <t xml:space="preserve">CAP-09</t>
  </si>
  <si>
    <t xml:space="preserve">Délai moyen de saisie</t>
  </si>
  <si>
    <t xml:space="preserve">Décalage entre exécution et déclaration du temps.</t>
  </si>
  <si>
    <t xml:space="preserve">Moyenne(date saisie − date travaillée)</t>
  </si>
  <si>
    <t xml:space="preserve">&gt;15 jours = saisie reconstituée de mémoire, donc fausse.</t>
  </si>
  <si>
    <t xml:space="preserve">Une saisie tardive est mécaniquement lissée et perd toute valeur analytique.</t>
  </si>
  <si>
    <t xml:space="preserve">CAP-10</t>
  </si>
  <si>
    <t xml:space="preserve">RH</t>
  </si>
  <si>
    <t xml:space="preserve">Taux d'absentéisme</t>
  </si>
  <si>
    <t xml:space="preserve">Part des jours d'absence non planifiée.</t>
  </si>
  <si>
    <t xml:space="preserve">Jours absence / jours théoriques</t>
  </si>
  <si>
    <t xml:space="preserve">SIRH</t>
  </si>
  <si>
    <t xml:space="preserve">Sert au calibrage de la capacité nette.</t>
  </si>
  <si>
    <t xml:space="preserve">Donnée RH sensible : agréger, ne jamais descendre au nominatif dans un outil PPM.</t>
  </si>
  <si>
    <t xml:space="preserve">CAP-11</t>
  </si>
  <si>
    <t xml:space="preserve">Turnover sur périmètre</t>
  </si>
  <si>
    <t xml:space="preserve">Rotation des personnes affectées.</t>
  </si>
  <si>
    <t xml:space="preserve">Départs période / effectif moyen</t>
  </si>
  <si>
    <t xml:space="preserve">Affectations, SIRH</t>
  </si>
  <si>
    <t xml:space="preserve">&gt;20% annuel sur un projet = risque de perte de connaissance majeur.</t>
  </si>
  <si>
    <t xml:space="preserve">Le coût réel est le temps de remontée en compétence, jamais budgété.</t>
  </si>
  <si>
    <t xml:space="preserve">CAP-12</t>
  </si>
  <si>
    <t xml:space="preserve">Staffing</t>
  </si>
  <si>
    <t xml:space="preserve">Délai de pourvoi (time-to-staff)</t>
  </si>
  <si>
    <t xml:space="preserve">Temps entre expression du besoin et arrivée effective.</t>
  </si>
  <si>
    <t xml:space="preserve">Moyenne(date arrivée − date demande)</t>
  </si>
  <si>
    <t xml:space="preserve">Demandes de staffing</t>
  </si>
  <si>
    <t xml:space="preserve">À intégrer dans les plannings : un jalon qui suppose un staffing immédiat est faux.</t>
  </si>
  <si>
    <t xml:space="preserve">Rarement mesuré, donc jamais anticipé dans les plannings.</t>
  </si>
  <si>
    <t xml:space="preserve">CAP-13</t>
  </si>
  <si>
    <t xml:space="preserve">Postes ouverts non pourvus</t>
  </si>
  <si>
    <t xml:space="preserve">Volume de besoins exprimés sans ressource affectée.</t>
  </si>
  <si>
    <t xml:space="preserve">COUNT(demandes ouvertes) ; en ETP</t>
  </si>
  <si>
    <t xml:space="preserve">À rapprocher des jalons dépendants.</t>
  </si>
  <si>
    <t xml:space="preserve">Sans lien avec les jalons impactés, l'indicateur ne déclenche aucune décision.</t>
  </si>
  <si>
    <t xml:space="preserve">CAP-14</t>
  </si>
  <si>
    <t xml:space="preserve">Compétences</t>
  </si>
  <si>
    <t xml:space="preserve">Couverture des compétences critiques</t>
  </si>
  <si>
    <t xml:space="preserve">Part des compétences critiques couvertes par ≥2 personnes.</t>
  </si>
  <si>
    <t xml:space="preserve">Compétences avec ≥2 titulaires / compétences critiques</t>
  </si>
  <si>
    <t xml:space="preserve">Référentiel compétences</t>
  </si>
  <si>
    <t xml:space="preserve">Toute compétence critique à 1 titulaire est un risque à inscrire au registre.</t>
  </si>
  <si>
    <t xml:space="preserve">Suppose un référentiel de compétences maintenu. Sans ça, indicateur non calculable.</t>
  </si>
  <si>
    <t xml:space="preserve">CAP-15</t>
  </si>
  <si>
    <t xml:space="preserve">Bus factor / concentration</t>
  </si>
  <si>
    <t xml:space="preserve">Nombre de personnes dont le départ bloquerait le projet.</t>
  </si>
  <si>
    <t xml:space="preserve">COUNT(personnes sans backup sur tâche critique)</t>
  </si>
  <si>
    <t xml:space="preserve">Affectations, RACI</t>
  </si>
  <si>
    <t xml:space="preserve">Bus factor = 1 sur un projet stratégique = point d'arbitrage COPIL.</t>
  </si>
  <si>
    <t xml:space="preserve">Souvent connu de tout le monde et écrit nulle part.</t>
  </si>
  <si>
    <t xml:space="preserve">CAP-16</t>
  </si>
  <si>
    <t xml:space="preserve">Allocation</t>
  </si>
  <si>
    <t xml:space="preserve">Allocation de capacité par catégorie</t>
  </si>
  <si>
    <t xml:space="preserve">SAFe</t>
  </si>
  <si>
    <t xml:space="preserve">ART/Portefeuille</t>
  </si>
  <si>
    <t xml:space="preserve">Répartition réelle de la capacité entre features métier, enablers, dette, maintenance.</t>
  </si>
  <si>
    <t xml:space="preserve">Capacité par catégorie / capacité totale</t>
  </si>
  <si>
    <t xml:space="preserve">Jira, PI planning</t>
  </si>
  <si>
    <t xml:space="preserve">Par PI</t>
  </si>
  <si>
    <t xml:space="preserve">Comparer au ratio cible décidé en PI planning.</t>
  </si>
  <si>
    <t xml:space="preserve">L'écart cible/réel est la mesure honnête ; la cible seule ne sert à rien.</t>
  </si>
  <si>
    <t xml:space="preserve">CAP-17</t>
  </si>
  <si>
    <t xml:space="preserve">Écart charge estimée / réelle</t>
  </si>
  <si>
    <t xml:space="preserve">Fiabilité des estimations de charge.</t>
  </si>
  <si>
    <t xml:space="preserve">(Réel − estimé) / estimé</t>
  </si>
  <si>
    <t xml:space="preserve">Timesheets, estimations</t>
  </si>
  <si>
    <t xml:space="preserve">À la clôture de lot</t>
  </si>
  <si>
    <t xml:space="preserve">Biais systématique &gt; +20% = process d'estimation à revoir.</t>
  </si>
  <si>
    <t xml:space="preserve">Nécessite que l'estimé initial soit conservé, ce que la plupart des outils écrasent.</t>
  </si>
  <si>
    <t xml:space="preserve">PLA-01</t>
  </si>
  <si>
    <t xml:space="preserve">Planning &amp; délais</t>
  </si>
  <si>
    <t xml:space="preserve">SPI (indice de performance planning)</t>
  </si>
  <si>
    <t xml:space="preserve">Rapport entre valeur acquise et valeur planifiée.</t>
  </si>
  <si>
    <t xml:space="preserve">SPI = EV / PV</t>
  </si>
  <si>
    <t xml:space="preserve">EV, PV</t>
  </si>
  <si>
    <t xml:space="preserve">&lt;0,9 = retard confirmé.</t>
  </si>
  <si>
    <t xml:space="preserve">Converge artificiellement vers 1 en fin de projet même si le projet est en retard. Préférer SPI(t).</t>
  </si>
  <si>
    <t xml:space="preserve">PLA-02</t>
  </si>
  <si>
    <t xml:space="preserve">SPI(t) — Earned Schedule</t>
  </si>
  <si>
    <t xml:space="preserve">Performance planning exprimée en temps, pas en valeur.</t>
  </si>
  <si>
    <t xml:space="preserve">SPI(t) = ES / AT, où ES = date à laquelle l'EV actuel était planifié</t>
  </si>
  <si>
    <t xml:space="preserve">Courbe PV, EV, date</t>
  </si>
  <si>
    <t xml:space="preserve">Reste valide jusqu'à la fin du projet, contrairement au SPI classique.</t>
  </si>
  <si>
    <t xml:space="preserve">Nécessite la courbe PV complète et non un simple % planifié.</t>
  </si>
  <si>
    <t xml:space="preserve">PLA-03</t>
  </si>
  <si>
    <t xml:space="preserve">Écart de délai (SV / SV(t))</t>
  </si>
  <si>
    <t xml:space="preserve">Écart en valeur ou en temps par rapport au planifié.</t>
  </si>
  <si>
    <t xml:space="preserve">SV = EV − PV ; SV(t) = ES − AT (en mois)</t>
  </si>
  <si>
    <t xml:space="preserve">EV, PV, ES</t>
  </si>
  <si>
    <t xml:space="preserve">SV(t) en mois est directement lisible en COPIL.</t>
  </si>
  <si>
    <t xml:space="preserve">SV en euros est incompréhensible pour un sponsor. Toujours convertir en temps.</t>
  </si>
  <si>
    <t xml:space="preserve">PLA-04</t>
  </si>
  <si>
    <t xml:space="preserve">Date d'atterrissage prévisionnelle</t>
  </si>
  <si>
    <t xml:space="preserve">Date de fin recalculée à partir de la performance réelle.</t>
  </si>
  <si>
    <t xml:space="preserve">IEAC(t) = durée planifiée / SPI(t) ; ou recalcul chemin critique</t>
  </si>
  <si>
    <t xml:space="preserve">Planning, SPI(t)</t>
  </si>
  <si>
    <t xml:space="preserve">Publier l'écart en jours vs baseline.</t>
  </si>
  <si>
    <t xml:space="preserve">Le recalcul par le chemin critique est le seul fiable ; la formule SPI(t) est une approximation.</t>
  </si>
  <si>
    <t xml:space="preserve">PLA-05</t>
  </si>
  <si>
    <t xml:space="preserve">Jalons</t>
  </si>
  <si>
    <t xml:space="preserve">Taux de respect des jalons</t>
  </si>
  <si>
    <t xml:space="preserve">Part des jalons livrés à la date engagée.</t>
  </si>
  <si>
    <t xml:space="preserve">Jalons tenus / jalons échus</t>
  </si>
  <si>
    <t xml:space="preserve">Planning, jalons DSR</t>
  </si>
  <si>
    <t xml:space="preserve">Calculer sur les jalons échus uniquement, pas sur le total.</t>
  </si>
  <si>
    <t xml:space="preserve">Se dégrade instantanément si on décale les jalons avant échéance. Suivre en parallèle PLA-07.</t>
  </si>
  <si>
    <t xml:space="preserve">PLA-06</t>
  </si>
  <si>
    <t xml:space="preserve">Jalons en retard ou à risque</t>
  </si>
  <si>
    <t xml:space="preserve">Volume de jalons dépassés ou signalés à risque, par criticité.</t>
  </si>
  <si>
    <t xml:space="preserve">COUNT par statut et criticité</t>
  </si>
  <si>
    <t xml:space="preserve">Planning</t>
  </si>
  <si>
    <t xml:space="preserve">Ventiler par criticité (1/2/3), jamais en volume global.</t>
  </si>
  <si>
    <t xml:space="preserve">Un jalon interne et un jalon réglementaire ne pèsent pas pareil. L'agrégat brut est trompeur.</t>
  </si>
  <si>
    <t xml:space="preserve">PLA-07</t>
  </si>
  <si>
    <t xml:space="preserve">Stabilité des dates cibles</t>
  </si>
  <si>
    <t xml:space="preserve">Nombre de modifications de date sur un même jalon.</t>
  </si>
  <si>
    <t xml:space="preserve">COUNT(changements de date) par jalon sur N mois</t>
  </si>
  <si>
    <t xml:space="preserve">Historique planning</t>
  </si>
  <si>
    <t xml:space="preserve">&gt;2 décalages = jalon non pilotable.</t>
  </si>
  <si>
    <t xml:space="preserve">Contre-mesure indispensable de PLA-05 : sans elle, on peut afficher 100% de jalons tenus en décalant tout.</t>
  </si>
  <si>
    <t xml:space="preserve">PLA-08</t>
  </si>
  <si>
    <t xml:space="preserve">Glissement moyen</t>
  </si>
  <si>
    <t xml:space="preserve">Décalage moyen constaté sur les jalons livrés.</t>
  </si>
  <si>
    <t xml:space="preserve">Moyenne(date réelle − date baseline) en jours</t>
  </si>
  <si>
    <t xml:space="preserve">Historique jalons</t>
  </si>
  <si>
    <t xml:space="preserve">Sert à calibrer les marges des plannings futurs.</t>
  </si>
  <si>
    <t xml:space="preserve">Moyenne masque la distribution : publier aussi le p85.</t>
  </si>
  <si>
    <t xml:space="preserve">PLA-09</t>
  </si>
  <si>
    <t xml:space="preserve">Qualité planning</t>
  </si>
  <si>
    <t xml:space="preserve">Marge totale / marge libre</t>
  </si>
  <si>
    <t xml:space="preserve">Latitude de décalage d'une tâche sans impacter la fin.</t>
  </si>
  <si>
    <t xml:space="preserve">Calcul CPM (MS Project / P6)</t>
  </si>
  <si>
    <t xml:space="preserve">Planning avec liens logiques</t>
  </si>
  <si>
    <t xml:space="preserve">Marge négative = retard déjà acquis.</t>
  </si>
  <si>
    <t xml:space="preserve">Nécessite un planning réellement lié logiquement. Un Gantt de dates saisies n'a pas de marge.</t>
  </si>
  <si>
    <t xml:space="preserve">PLA-10</t>
  </si>
  <si>
    <t xml:space="preserve">Part des tâches sur chemin critique</t>
  </si>
  <si>
    <t xml:space="preserve">Proportion de l'ouvrage exposée directement au retard.</t>
  </si>
  <si>
    <t xml:space="preserve">Tâches critiques / tâches totales</t>
  </si>
  <si>
    <t xml:space="preserve">Planning CPM</t>
  </si>
  <si>
    <t xml:space="preserve">&gt;30% = planning sur-contraint, aucune tolérance.</t>
  </si>
  <si>
    <t xml:space="preserve">Un chemin critique unique et long est souvent le signe d'un planning artificiellement séquencé.</t>
  </si>
  <si>
    <t xml:space="preserve">PLA-11</t>
  </si>
  <si>
    <t xml:space="preserve">BEI (Baseline Execution Index)</t>
  </si>
  <si>
    <t xml:space="preserve">Rapport entre tâches réellement terminées et tâches qui devaient l'être.</t>
  </si>
  <si>
    <t xml:space="preserve">Tâches terminées / tâches planifiées terminées à date</t>
  </si>
  <si>
    <t xml:space="preserve">&lt;0,95 = exécution en retard sur la baseline.</t>
  </si>
  <si>
    <t xml:space="preserve">Ne dit rien sur la criticité des tâches manquantes.</t>
  </si>
  <si>
    <t xml:space="preserve">PLA-12</t>
  </si>
  <si>
    <t xml:space="preserve">CPLI (Critical Path Length Index)</t>
  </si>
  <si>
    <t xml:space="preserve">Efficacité requise sur le chemin critique pour tenir la fin.</t>
  </si>
  <si>
    <t xml:space="preserve">(Longueur chemin critique + marge totale) / longueur chemin critique</t>
  </si>
  <si>
    <t xml:space="preserve">&lt;1 = date de fin non tenable en l'état.</t>
  </si>
  <si>
    <t xml:space="preserve">Peu lisible pour un sponsor ; à traduire en jours de retard.</t>
  </si>
  <si>
    <t xml:space="preserve">PLA-13</t>
  </si>
  <si>
    <t xml:space="preserve">Santé du planning (DCMA 14 points)</t>
  </si>
  <si>
    <t xml:space="preserve">Contrôle structurel : liens manquants, contraintes dures, décalages négatifs, durées excessives, marge anormale, dates invalides, ressources, tâches en retard.</t>
  </si>
  <si>
    <t xml:space="preserve">Score = tests réussis / 14. Seuils DCMA : liens manquants ≤5%, décalages positifs ≤5%, décalages négatifs = 0, contraintes dures ≤5%, marge totale élevée (&gt;44j) ≤5%, marge négative = 0, durées &gt;44j ≤5%, tâches invalides = 0, ressources affectées, tâches en retard ≤5%, BEI ≥0,95, CPLI ≥1</t>
  </si>
  <si>
    <t xml:space="preserve">Fichier planning (MPP/XML)</t>
  </si>
  <si>
    <t xml:space="preserve">Un planning qui échoue à &gt;4 tests ne permet aucun pilotage fiable.</t>
  </si>
  <si>
    <t xml:space="preserve">Passe les 14 tests ≠ planning juste. C'est un contrôle de forme, pas de fond.</t>
  </si>
  <si>
    <t xml:space="preserve">PLA-14</t>
  </si>
  <si>
    <t xml:space="preserve">Avancement</t>
  </si>
  <si>
    <t xml:space="preserve">Écart avancement physique / déclaratif</t>
  </si>
  <si>
    <t xml:space="preserve">Différence entre avancement mesuré sur livrables et avancement annoncé.</t>
  </si>
  <si>
    <t xml:space="preserve">% physique (règle 0/100, 50/50, jalons) − % déclaré CP</t>
  </si>
  <si>
    <t xml:space="preserve">Livrables, fiches projet</t>
  </si>
  <si>
    <t xml:space="preserve">Écart persistant &gt; 10 pts = reporting non fiable.</t>
  </si>
  <si>
    <t xml:space="preserve">Le % déclaratif plafonne notoirement à 90% pendant des mois.</t>
  </si>
  <si>
    <t xml:space="preserve">PLA-15</t>
  </si>
  <si>
    <t xml:space="preserve">Cycle</t>
  </si>
  <si>
    <t xml:space="preserve">Time-to-market</t>
  </si>
  <si>
    <t xml:space="preserve">Délai entre décision d'investissement et mise en production.</t>
  </si>
  <si>
    <t xml:space="preserve">Date MEP − date décision</t>
  </si>
  <si>
    <t xml:space="preserve">Décisions, MEP</t>
  </si>
  <si>
    <t xml:space="preserve">Mesure de bout en bout, incluant les temps d'attente amont.</t>
  </si>
  <si>
    <t xml:space="preserve">Souvent mesuré à partir du lancement projet, ce qui efface les 6 mois d'arbitrage préalable.</t>
  </si>
  <si>
    <t xml:space="preserve">PLA-16</t>
  </si>
  <si>
    <t xml:space="preserve">Délai de décision en instance</t>
  </si>
  <si>
    <t xml:space="preserve">Temps entre soumission d'un point d'arbitrage et décision rendue.</t>
  </si>
  <si>
    <t xml:space="preserve">Moyenne(date décision − date soumission)</t>
  </si>
  <si>
    <t xml:space="preserve">Relevés de décision</t>
  </si>
  <si>
    <t xml:space="preserve">&gt;1 cycle de COPIL = goulot de gouvernance.</t>
  </si>
  <si>
    <t xml:space="preserve">Indicateur qui met en cause l'instance elle-même : rarement publié spontanément.</t>
  </si>
  <si>
    <t xml:space="preserve">PLA-17</t>
  </si>
  <si>
    <t xml:space="preserve">Qualité</t>
  </si>
  <si>
    <t xml:space="preserve">Livrables acceptés au premier passage</t>
  </si>
  <si>
    <t xml:space="preserve">Part des livrables validés sans itération de correction.</t>
  </si>
  <si>
    <t xml:space="preserve">Livrables acceptés en 1 fois / livrables soumis</t>
  </si>
  <si>
    <t xml:space="preserve">Circuit de validation</t>
  </si>
  <si>
    <t xml:space="preserve">&lt;70% = problème d'expression de besoin ou de critères d'acceptation.</t>
  </si>
  <si>
    <t xml:space="preserve">Suppose des critères d'acceptation écrits en amont, souvent absents.</t>
  </si>
  <si>
    <t xml:space="preserve">RIS-01</t>
  </si>
  <si>
    <t xml:space="preserve">Risques &amp; dépendances</t>
  </si>
  <si>
    <t xml:space="preserve">Volumétrie</t>
  </si>
  <si>
    <t xml:space="preserve">Risques actifs par criticité</t>
  </si>
  <si>
    <t xml:space="preserve">Nombre de risques ouverts ventilés par niveau de criticité (1/2/3).</t>
  </si>
  <si>
    <t xml:space="preserve">COUNT par criticité et statut</t>
  </si>
  <si>
    <t xml:space="preserve">Registre des risques</t>
  </si>
  <si>
    <t xml:space="preserve">Ventiler systématiquement ; le volume global ne signifie rien.</t>
  </si>
  <si>
    <t xml:space="preserve">Un registre vide n'indique pas l'absence de risque mais l'absence d'analyse.</t>
  </si>
  <si>
    <t xml:space="preserve">RIS-02</t>
  </si>
  <si>
    <t xml:space="preserve">Exposition</t>
  </si>
  <si>
    <t xml:space="preserve">Exposition financière brute</t>
  </si>
  <si>
    <t xml:space="preserve">Somme des impacts pondérés par la probabilité, avant mitigation.</t>
  </si>
  <si>
    <t xml:space="preserve">Σ (Probabilité × Impact €)</t>
  </si>
  <si>
    <t xml:space="preserve">Registre risques valorisé</t>
  </si>
  <si>
    <t xml:space="preserve">À rapprocher de la provision pour aléas.</t>
  </si>
  <si>
    <t xml:space="preserve">Suppose une valorisation € de chaque risque. Une échelle 1-5 non convertie rend le calcul impossible.</t>
  </si>
  <si>
    <t xml:space="preserve">RIS-03</t>
  </si>
  <si>
    <t xml:space="preserve">Exposition résiduelle</t>
  </si>
  <si>
    <t xml:space="preserve">Exposition après prise en compte des plans de mitigation engagés.</t>
  </si>
  <si>
    <t xml:space="preserve">Σ (P résiduelle × Impact résiduel)</t>
  </si>
  <si>
    <t xml:space="preserve">Registre risques</t>
  </si>
  <si>
    <t xml:space="preserve">L'écart brut/résiduel mesure l'effet réel de la mitigation.</t>
  </si>
  <si>
    <t xml:space="preserve">La réduction est souvent déclarée dès l'écriture du plan d'action, pas à son exécution.</t>
  </si>
  <si>
    <t xml:space="preserve">RIS-04</t>
  </si>
  <si>
    <t xml:space="preserve">Traitement</t>
  </si>
  <si>
    <t xml:space="preserve">Taux de couverture par plan d'action</t>
  </si>
  <si>
    <t xml:space="preserve">Part des risques significatifs dotés d'un plan avec pilote et échéance.</t>
  </si>
  <si>
    <t xml:space="preserve">Risques avec plan / risques criticité 1-2</t>
  </si>
  <si>
    <t xml:space="preserve">&lt;80% sur les risques majeurs = registre décoratif.</t>
  </si>
  <si>
    <t xml:space="preserve">Un plan sans pilote nommé ni date ne compte pas.</t>
  </si>
  <si>
    <t xml:space="preserve">RIS-05</t>
  </si>
  <si>
    <t xml:space="preserve">Actions de mitigation en retard</t>
  </si>
  <si>
    <t xml:space="preserve">Volume et part d'actions dépassant leur échéance.</t>
  </si>
  <si>
    <t xml:space="preserve">Actions échues non closes / actions ouvertes</t>
  </si>
  <si>
    <t xml:space="preserve">&gt;30% = pilotage des risques non effectif.</t>
  </si>
  <si>
    <t xml:space="preserve">Indicateur plus révélateur que le nombre de risques lui-même.</t>
  </si>
  <si>
    <t xml:space="preserve">RIS-06</t>
  </si>
  <si>
    <t xml:space="preserve">Fraîcheur</t>
  </si>
  <si>
    <t xml:space="preserve">Risques non revus</t>
  </si>
  <si>
    <t xml:space="preserve">Risques sans mise à jour depuis un seuil donné.</t>
  </si>
  <si>
    <t xml:space="preserve">COUNT(dernière MAJ &gt; 30 / 60 jours)</t>
  </si>
  <si>
    <t xml:space="preserve">&gt;60 jours = risque probablement obsolète ou oublié.</t>
  </si>
  <si>
    <t xml:space="preserve">Mesure la vitalité du process, pas le niveau de risque.</t>
  </si>
  <si>
    <t xml:space="preserve">RIS-07</t>
  </si>
  <si>
    <t xml:space="preserve">Prédictif</t>
  </si>
  <si>
    <t xml:space="preserve">Taux de matérialisation</t>
  </si>
  <si>
    <t xml:space="preserve">Part des risques identifiés devenus des problèmes avérés.</t>
  </si>
  <si>
    <t xml:space="preserve">Risques transformés en issues / risques clos</t>
  </si>
  <si>
    <t xml:space="preserve">Historique registre</t>
  </si>
  <si>
    <t xml:space="preserve">Taux très bas = identification trop tardive ou risques fictifs.</t>
  </si>
  <si>
    <t xml:space="preserve">Un taux de 0% signifie généralement qu'on n'identifie que ce qui est déjà arrivé.</t>
  </si>
  <si>
    <t xml:space="preserve">RIS-08</t>
  </si>
  <si>
    <t xml:space="preserve">Issues non anticipées</t>
  </si>
  <si>
    <t xml:space="preserve">Part des problèmes survenus sans risque préalable au registre.</t>
  </si>
  <si>
    <t xml:space="preserve">Issues sans risque source / issues totales</t>
  </si>
  <si>
    <t xml:space="preserve">Registres risques et issues</t>
  </si>
  <si>
    <t xml:space="preserve">&gt;50% = dispositif d'anticipation inefficace.</t>
  </si>
  <si>
    <t xml:space="preserve">Le seul indicateur qui mesure la valeur ajoutée réelle du management des risques.</t>
  </si>
  <si>
    <t xml:space="preserve">RIS-09</t>
  </si>
  <si>
    <t xml:space="preserve">Issues</t>
  </si>
  <si>
    <t xml:space="preserve">Points bloquants ouverts et ancienneté</t>
  </si>
  <si>
    <t xml:space="preserve">Volume et âge moyen des issues bloquantes.</t>
  </si>
  <si>
    <t xml:space="preserve">COUNT ; moyenne(date du jour − date ouverture)</t>
  </si>
  <si>
    <t xml:space="preserve">Registre issues</t>
  </si>
  <si>
    <t xml:space="preserve">Hebdo/Mensuelle</t>
  </si>
  <si>
    <t xml:space="preserve">Âge &gt; 30 jours sur un bloquant = escalade automatique.</t>
  </si>
  <si>
    <t xml:space="preserve">L'âge compte davantage que le volume.</t>
  </si>
  <si>
    <t xml:space="preserve">RIS-10</t>
  </si>
  <si>
    <t xml:space="preserve">Délai moyen de résolution</t>
  </si>
  <si>
    <t xml:space="preserve">Temps entre ouverture et clôture d'un point bloquant.</t>
  </si>
  <si>
    <t xml:space="preserve">Moyenne(date clôture − date ouverture)</t>
  </si>
  <si>
    <t xml:space="preserve">Publier le p85, pas seulement la moyenne.</t>
  </si>
  <si>
    <t xml:space="preserve">Les issues fermées administrativement sans résolution faussent l'indicateur.</t>
  </si>
  <si>
    <t xml:space="preserve">RIS-11</t>
  </si>
  <si>
    <t xml:space="preserve">Escalade</t>
  </si>
  <si>
    <t xml:space="preserve">Taux d'escalade</t>
  </si>
  <si>
    <t xml:space="preserve">Part des points remontés en instance supérieure.</t>
  </si>
  <si>
    <t xml:space="preserve">Points escaladés / points ouverts</t>
  </si>
  <si>
    <t xml:space="preserve">Relevés d'instance</t>
  </si>
  <si>
    <t xml:space="preserve">Trop bas = décisions bloquées au niveau opérationnel.</t>
  </si>
  <si>
    <t xml:space="preserve">Une escalade faible est souvent lue comme une bonne nouvelle. C'est rarement le cas.</t>
  </si>
  <si>
    <t xml:space="preserve">RIS-12</t>
  </si>
  <si>
    <t xml:space="preserve">Dépendances</t>
  </si>
  <si>
    <t xml:space="preserve">Dépendances inter-projets ouvertes</t>
  </si>
  <si>
    <t xml:space="preserve">Programme/Portefeuille</t>
  </si>
  <si>
    <t xml:space="preserve">Nombre de liens de dépendance non encore honorés.</t>
  </si>
  <si>
    <t xml:space="preserve">COUNT(dépendances statut ouvert)</t>
  </si>
  <si>
    <t xml:space="preserve">Matrice de dépendances</t>
  </si>
  <si>
    <t xml:space="preserve">Ventiler par criticité et par échéance.</t>
  </si>
  <si>
    <t xml:space="preserve">Sans date engagée côté fournisseur, une dépendance déclarée n'est pas pilotable.</t>
  </si>
  <si>
    <t xml:space="preserve">RIS-13</t>
  </si>
  <si>
    <t xml:space="preserve">Dépendances sans date engagée</t>
  </si>
  <si>
    <t xml:space="preserve">Dépendances critiques sans engagement daté de la partie fournisseuse.</t>
  </si>
  <si>
    <t xml:space="preserve">COUNT(dépendances critiques sans date)</t>
  </si>
  <si>
    <t xml:space="preserve">Toute dépendance critique sans date = risque à ouvrir.</t>
  </si>
  <si>
    <t xml:space="preserve">C'est la population qui produit les retards, pas les dépendances suivies.</t>
  </si>
  <si>
    <t xml:space="preserve">RIS-14</t>
  </si>
  <si>
    <t xml:space="preserve">Taux de dépendances honorées</t>
  </si>
  <si>
    <t xml:space="preserve">Programme/ART</t>
  </si>
  <si>
    <t xml:space="preserve">Part des dépendances livrées à la date engagée.</t>
  </si>
  <si>
    <t xml:space="preserve">Dépendances tenues / dépendances échues</t>
  </si>
  <si>
    <t xml:space="preserve">Matrice, Jira</t>
  </si>
  <si>
    <t xml:space="preserve">Par PI / mensuelle</t>
  </si>
  <si>
    <t xml:space="preserve">&lt;80% = planification inter-équipes non fiable.</t>
  </si>
  <si>
    <t xml:space="preserve">À ventiler par équipe fournisseuse pour identifier le goulot réel.</t>
  </si>
  <si>
    <t xml:space="preserve">RIS-15</t>
  </si>
  <si>
    <t xml:space="preserve">Concentration de dépendances</t>
  </si>
  <si>
    <t xml:space="preserve">Nombre de dépendances pointant vers une même équipe ou un même fournisseur.</t>
  </si>
  <si>
    <t xml:space="preserve">MAX(COUNT dépendances par fournisseur)</t>
  </si>
  <si>
    <t xml:space="preserve">Concentration élevée = point de défaillance unique du portefeuille.</t>
  </si>
  <si>
    <t xml:space="preserve">Rarement visualisé ; nécessite une vue graphe, pas un tableau.</t>
  </si>
  <si>
    <t xml:space="preserve">RIS-16</t>
  </si>
  <si>
    <t xml:space="preserve">Changements</t>
  </si>
  <si>
    <t xml:space="preserve">Volume et impact des demandes de changement</t>
  </si>
  <si>
    <t xml:space="preserve">Nombre de CR et impact cumulé en euros et en jours.</t>
  </si>
  <si>
    <t xml:space="preserve">COUNT ; Σ impact € ; Σ impact jours</t>
  </si>
  <si>
    <t xml:space="preserve">Impact cumulé &gt; 10% du BAC = rebaseline à instruire.</t>
  </si>
  <si>
    <t xml:space="preserve">Les micro-changements non instruits en CR sont la principale source de dérive silencieuse.</t>
  </si>
  <si>
    <t xml:space="preserve">RIS-17</t>
  </si>
  <si>
    <t xml:space="preserve">Volatilité du périmètre (scope churn)</t>
  </si>
  <si>
    <t xml:space="preserve">Part du périmètre ajoutée, retirée ou modifiée sur la période.</t>
  </si>
  <si>
    <t xml:space="preserve">(Ajouts + retraits + modifs) / périmètre baseline</t>
  </si>
  <si>
    <t xml:space="preserve">Backlog / WBS</t>
  </si>
  <si>
    <t xml:space="preserve">&gt;15% par trimestre = cadrage instable.</t>
  </si>
  <si>
    <t xml:space="preserve">En agile, une part de churn est normale et souhaitable. Le seuil ne se transpose pas.</t>
  </si>
  <si>
    <t xml:space="preserve">AGI-01</t>
  </si>
  <si>
    <t xml:space="preserve">Agile</t>
  </si>
  <si>
    <t xml:space="preserve">Débit</t>
  </si>
  <si>
    <t xml:space="preserve">Vélocité</t>
  </si>
  <si>
    <t xml:space="preserve">Points d'effort terminés par itération.</t>
  </si>
  <si>
    <t xml:space="preserve">Σ points des items Done par sprint</t>
  </si>
  <si>
    <t xml:space="preserve">Jira</t>
  </si>
  <si>
    <t xml:space="preserve">Par sprint</t>
  </si>
  <si>
    <t xml:space="preserve">Lire l'écart-type sur 6 sprints, pas la valeur d'un sprint.</t>
  </si>
  <si>
    <t xml:space="preserve">Jamais comparable entre équipes. Toute comparaison inter-équipes provoque l'inflation des estimations.</t>
  </si>
  <si>
    <t xml:space="preserve">AGI-02</t>
  </si>
  <si>
    <t xml:space="preserve">Throughput</t>
  </si>
  <si>
    <t xml:space="preserve">Nombre d'items terminés par unité de temps.</t>
  </si>
  <si>
    <t xml:space="preserve">COUNT(items Done) / période</t>
  </si>
  <si>
    <t xml:space="preserve">Hebdo</t>
  </si>
  <si>
    <t xml:space="preserve">Alternative robuste à la vélocité, insensible à l'estimation.</t>
  </si>
  <si>
    <t xml:space="preserve">Sensible à la taille des items : à croiser avec la distribution des tailles.</t>
  </si>
  <si>
    <t xml:space="preserve">AGI-03</t>
  </si>
  <si>
    <t xml:space="preserve">Prévisibilité</t>
  </si>
  <si>
    <t xml:space="preserve">Say/Do ratio (engagement tenu)</t>
  </si>
  <si>
    <t xml:space="preserve">Part de l'engagement de sprint effectivement livrée.</t>
  </si>
  <si>
    <t xml:space="preserve">Points livrés / points engagés</t>
  </si>
  <si>
    <t xml:space="preserve">Cible 80-100%. Un ratio constamment à 100% signale un sous-engagement délibéré.</t>
  </si>
  <si>
    <t xml:space="preserve">Facilement manipulé en réduisant l'engagement. À lire avec le throughput.</t>
  </si>
  <si>
    <t xml:space="preserve">AGI-04</t>
  </si>
  <si>
    <t xml:space="preserve">Report d'itération (carryover)</t>
  </si>
  <si>
    <t xml:space="preserve">Part des items non terminés reportés au sprint suivant.</t>
  </si>
  <si>
    <t xml:space="preserve">Items reportés / items engagés</t>
  </si>
  <si>
    <t xml:space="preserve">&gt;25% récurrent = découpage trop gros ou dépendances non traitées.</t>
  </si>
  <si>
    <t xml:space="preserve">Un carryover nul peut signaler un padding systématique.</t>
  </si>
  <si>
    <t xml:space="preserve">AGI-05</t>
  </si>
  <si>
    <t xml:space="preserve">Flux</t>
  </si>
  <si>
    <t xml:space="preserve">Cycle time</t>
  </si>
  <si>
    <t xml:space="preserve">Temps entre le démarrage effectif et la livraison d'un item.</t>
  </si>
  <si>
    <t xml:space="preserve">Date Done − date In Progress ; publier p50 et p85</t>
  </si>
  <si>
    <t xml:space="preserve">Historique des transitions Jira</t>
  </si>
  <si>
    <t xml:space="preserve">Le p85 sert aux engagements de délai, pas la moyenne.</t>
  </si>
  <si>
    <t xml:space="preserve">Nécessite l'historisation des transitions d'état. Si le PPM ne stocke que l'état courant, non calculable.</t>
  </si>
  <si>
    <t xml:space="preserve">AGI-06</t>
  </si>
  <si>
    <t xml:space="preserve">Lead time</t>
  </si>
  <si>
    <t xml:space="preserve">Équipe/Produit</t>
  </si>
  <si>
    <t xml:space="preserve">Temps entre l'expression du besoin et la livraison.</t>
  </si>
  <si>
    <t xml:space="preserve">Date Done − date création</t>
  </si>
  <si>
    <t xml:space="preserve">Écart lead time / cycle time = temps d'attente en backlog.</t>
  </si>
  <si>
    <t xml:space="preserve">Pollué par les items créés puis abandonnés en backlog pendant des mois.</t>
  </si>
  <si>
    <t xml:space="preserve">AGI-07</t>
  </si>
  <si>
    <t xml:space="preserve">WIP (travail en cours)</t>
  </si>
  <si>
    <t xml:space="preserve">Nombre d'items simultanément en cours.</t>
  </si>
  <si>
    <t xml:space="preserve">COUNT(items entre In Progress et Done)</t>
  </si>
  <si>
    <t xml:space="preserve">Continue</t>
  </si>
  <si>
    <t xml:space="preserve">Loi de Little : cycle time = WIP / throughput. Réduire le WIP réduit le délai.</t>
  </si>
  <si>
    <t xml:space="preserve">Un WIP bas obtenu en laissant des items en 'à faire' ne change rien au délai réel.</t>
  </si>
  <si>
    <t xml:space="preserve">AGI-08</t>
  </si>
  <si>
    <t xml:space="preserve">Âge des items en cours</t>
  </si>
  <si>
    <t xml:space="preserve">Ancienneté des items non terminés actuellement.</t>
  </si>
  <si>
    <t xml:space="preserve">Date du jour − date In Progress</t>
  </si>
  <si>
    <t xml:space="preserve">Item dont l'âge dépasse le p85 du cycle time = à traiter immédiatement.</t>
  </si>
  <si>
    <t xml:space="preserve">Indicateur prédictif, contrairement au cycle time qui est rétrospectif.</t>
  </si>
  <si>
    <t xml:space="preserve">AGI-09</t>
  </si>
  <si>
    <t xml:space="preserve">Flow efficiency</t>
  </si>
  <si>
    <t xml:space="preserve">Part du temps de traversée passée en travail actif vs en attente.</t>
  </si>
  <si>
    <t xml:space="preserve">Temps actif / temps total de traversée</t>
  </si>
  <si>
    <t xml:space="preserve">Historique transitions avec états d'attente</t>
  </si>
  <si>
    <t xml:space="preserve">Les valeurs observées en travail intellectuel sont couramment situées entre 5 et 15% ; à mesurer localement plutôt qu'à comparer à un benchmark.</t>
  </si>
  <si>
    <t xml:space="preserve">Exige des états d'attente explicites dans le workflow. Un workflow à 3 colonnes rend le calcul impossible.</t>
  </si>
  <si>
    <t xml:space="preserve">AGI-10</t>
  </si>
  <si>
    <t xml:space="preserve">Diagramme de flux cumulé (CFD)</t>
  </si>
  <si>
    <t xml:space="preserve">Visualisation de l'accumulation par état dans le temps.</t>
  </si>
  <si>
    <t xml:space="preserve">Pour chaque jour d, chaque état e : cumul(e,d) = COUNT(items ayant atteint e à date ≤ d). Largeur verticale de la bande e à date d = WIP(e,d) ; largeur horizontale = temps de traversée approché</t>
  </si>
  <si>
    <t xml:space="preserve">Historique transitions</t>
  </si>
  <si>
    <t xml:space="preserve">Une bande qui s'élargit = goulot à cet état.</t>
  </si>
  <si>
    <t xml:space="preserve">Visualisation, pas indicateur : ne se met pas dans un tableau de bord chiffré.</t>
  </si>
  <si>
    <t xml:space="preserve">AGI-11</t>
  </si>
  <si>
    <t xml:space="preserve">Taux de rework</t>
  </si>
  <si>
    <t xml:space="preserve">Part des items rouverts après passage en Done.</t>
  </si>
  <si>
    <t xml:space="preserve">Items réouverts / items Done</t>
  </si>
  <si>
    <t xml:space="preserve">&gt;10% = définition of Done insuffisante.</t>
  </si>
  <si>
    <t xml:space="preserve">Contournable en créant un nouveau ticket au lieu de rouvrir.</t>
  </si>
  <si>
    <t xml:space="preserve">AGI-12</t>
  </si>
  <si>
    <t xml:space="preserve">Défauts échappés en production</t>
  </si>
  <si>
    <t xml:space="preserve">Anomalies détectées après mise en production.</t>
  </si>
  <si>
    <t xml:space="preserve">COUNT(bugs prod) par période et par sévérité</t>
  </si>
  <si>
    <t xml:space="preserve">Outil ITSM / Jira</t>
  </si>
  <si>
    <t xml:space="preserve">Ventiler par sévérité ; le volume brut ne signifie rien.</t>
  </si>
  <si>
    <t xml:space="preserve">Dépend fortement du niveau de détection et de la maturité du support.</t>
  </si>
  <si>
    <t xml:space="preserve">AGI-13</t>
  </si>
  <si>
    <t xml:space="preserve">Ratio anomalies / stories</t>
  </si>
  <si>
    <t xml:space="preserve">Part de la capacité consommée par la correction.</t>
  </si>
  <si>
    <t xml:space="preserve">Items type bug / items totaux</t>
  </si>
  <si>
    <t xml:space="preserve">&gt;30% = dette qualité qui absorbe la capacité.</t>
  </si>
  <si>
    <t xml:space="preserve">Une équipe peut requalifier des bugs en 'améliorations'. Vérifier la cohérence des types.</t>
  </si>
  <si>
    <t xml:space="preserve">AGI-14</t>
  </si>
  <si>
    <t xml:space="preserve">Couverture de tests automatisés</t>
  </si>
  <si>
    <t xml:space="preserve">Part du code couverte par des tests automatisés.</t>
  </si>
  <si>
    <t xml:space="preserve">Lignes/branches couvertes / total</t>
  </si>
  <si>
    <t xml:space="preserve">SonarQube ou équivalent</t>
  </si>
  <si>
    <t xml:space="preserve">Suivre la tendance, pas la valeur absolue.</t>
  </si>
  <si>
    <t xml:space="preserve">Une couverture élevée sans assertions pertinentes ne garantit rien. Métrique facilement gonflable.</t>
  </si>
  <si>
    <t xml:space="preserve">AGI-15</t>
  </si>
  <si>
    <t xml:space="preserve">Dette technique</t>
  </si>
  <si>
    <t xml:space="preserve">Effort estimé de remise à niveau du code.</t>
  </si>
  <si>
    <t xml:space="preserve">Ratio de dette (SQALE) = coût de remédiation estimé / coût de développement estimé du code existant</t>
  </si>
  <si>
    <t xml:space="preserve">SonarQube</t>
  </si>
  <si>
    <t xml:space="preserve">Suivre l'évolution, pas le stock.</t>
  </si>
  <si>
    <t xml:space="preserve">Estimation automatique très approximative ; ne pas la présenter comme un chiffrage.</t>
  </si>
  <si>
    <t xml:space="preserve">AGI-16</t>
  </si>
  <si>
    <t xml:space="preserve">DevOps</t>
  </si>
  <si>
    <t xml:space="preserve">Fréquence de déploiement (DORA)</t>
  </si>
  <si>
    <t xml:space="preserve">Nombre de mises en production par unité de temps.</t>
  </si>
  <si>
    <t xml:space="preserve">COUNT(déploiements prod) / période</t>
  </si>
  <si>
    <t xml:space="preserve">CI/CD</t>
  </si>
  <si>
    <t xml:space="preserve">Indicateur DORA de vitesse.</t>
  </si>
  <si>
    <t xml:space="preserve">Fréquence élevée sans stabilité (voir AGI-18) est un signal négatif, pas positif.</t>
  </si>
  <si>
    <t xml:space="preserve">AGI-17</t>
  </si>
  <si>
    <t xml:space="preserve">Lead time for changes (DORA)</t>
  </si>
  <si>
    <t xml:space="preserve">Délai entre commit et mise en production.</t>
  </si>
  <si>
    <t xml:space="preserve">Date déploiement − date commit</t>
  </si>
  <si>
    <t xml:space="preserve">Git, CI/CD</t>
  </si>
  <si>
    <t xml:space="preserve">Mesure la chaîne technique uniquement, pas le délai de bout en bout métier.</t>
  </si>
  <si>
    <t xml:space="preserve">AGI-18</t>
  </si>
  <si>
    <t xml:space="preserve">Change failure rate (DORA)</t>
  </si>
  <si>
    <t xml:space="preserve">Part des déploiements causant une dégradation.</t>
  </si>
  <si>
    <t xml:space="preserve">Déploiements en échec / déploiements totaux</t>
  </si>
  <si>
    <t xml:space="preserve">CI/CD, incidents</t>
  </si>
  <si>
    <t xml:space="preserve">Indicateur DORA de stabilité. À lire conjointement avec AGI-16.</t>
  </si>
  <si>
    <t xml:space="preserve">Définition de l'échec à figer explicitement, sinon incomparable dans le temps.</t>
  </si>
  <si>
    <t xml:space="preserve">AGI-19</t>
  </si>
  <si>
    <t xml:space="preserve">MTTR (DORA)</t>
  </si>
  <si>
    <t xml:space="preserve">Temps moyen de rétablissement après incident.</t>
  </si>
  <si>
    <t xml:space="preserve">Moyenne(date résolution − date détection)</t>
  </si>
  <si>
    <t xml:space="preserve">ITSM</t>
  </si>
  <si>
    <t xml:space="preserve">Indicateur DORA de stabilité.</t>
  </si>
  <si>
    <t xml:space="preserve">Moyenne écrasée par les incidents mineurs ; publier aussi le p85 sur les incidents majeurs.</t>
  </si>
  <si>
    <t xml:space="preserve">AGI-20</t>
  </si>
  <si>
    <t xml:space="preserve">Backlog</t>
  </si>
  <si>
    <t xml:space="preserve">Profondeur du backlog prêt</t>
  </si>
  <si>
    <t xml:space="preserve">Volume d'items affinés et prêts à être pris, exprimé en sprints.</t>
  </si>
  <si>
    <t xml:space="preserve">Points prêts / vélocité moyenne</t>
  </si>
  <si>
    <t xml:space="preserve">1,5 à 2 sprints de couverture ; en-dessous, risque d'arrêt de flux.</t>
  </si>
  <si>
    <t xml:space="preserve">Un backlog trop profond est du travail d'affinage gaspillé si les priorités bougent.</t>
  </si>
  <si>
    <t xml:space="preserve">AGI-21</t>
  </si>
  <si>
    <t xml:space="preserve">Âge du backlog</t>
  </si>
  <si>
    <t xml:space="preserve">Ancienneté des items non traités.</t>
  </si>
  <si>
    <t xml:space="preserve">COUNT(items &gt; 6 mois) / total backlog</t>
  </si>
  <si>
    <t xml:space="preserve">&gt;40% d'items vieux = backlog non purgé, priorisation illisible.</t>
  </si>
  <si>
    <t xml:space="preserve">Personne ne supprime jamais un ticket. Prévoir une purge automatique par politique.</t>
  </si>
  <si>
    <t xml:space="preserve">AGI-22</t>
  </si>
  <si>
    <t xml:space="preserve">Estimation</t>
  </si>
  <si>
    <t xml:space="preserve">Fiabilité d'estimation</t>
  </si>
  <si>
    <t xml:space="preserve">Écart entre effort estimé et cycle time réel par taille d'item.</t>
  </si>
  <si>
    <t xml:space="preserve">Corrélation taille estimée / cycle time observé</t>
  </si>
  <si>
    <t xml:space="preserve">Corrélation faible = l'estimation n'apporte rien, envisager #NoEstimates.</t>
  </si>
  <si>
    <t xml:space="preserve">Résultat souvent politiquement inconfortable dans les organisations qui estiment beaucoup.</t>
  </si>
  <si>
    <t xml:space="preserve">AGI-23</t>
  </si>
  <si>
    <t xml:space="preserve">Stabilité de l'équipe</t>
  </si>
  <si>
    <t xml:space="preserve">Part des membres présents d'une itération à l'autre.</t>
  </si>
  <si>
    <t xml:space="preserve">Membres constants / effectif équipe</t>
  </si>
  <si>
    <t xml:space="preserve">&lt;80% = vélocité et prévisibilité non exploitables.</t>
  </si>
  <si>
    <t xml:space="preserve">Préalable à toute lecture de AGI-01 et AGI-03. À afficher avant elles.</t>
  </si>
  <si>
    <t xml:space="preserve">AGI-24</t>
  </si>
  <si>
    <t xml:space="preserve">Actions de rétrospective closes</t>
  </si>
  <si>
    <t xml:space="preserve">Part des actions d'amélioration effectivement réalisées.</t>
  </si>
  <si>
    <t xml:space="preserve">Actions closes / actions ouvertes</t>
  </si>
  <si>
    <t xml:space="preserve">Outil équipe</t>
  </si>
  <si>
    <t xml:space="preserve">&lt;50% = rétrospective sans effet.</t>
  </si>
  <si>
    <t xml:space="preserve">Facilement transformé en indicateur de conformité qui tue la rétro.</t>
  </si>
  <si>
    <t xml:space="preserve">SAF-01</t>
  </si>
  <si>
    <t xml:space="preserve">Flow</t>
  </si>
  <si>
    <t xml:space="preserve">Flow Distribution</t>
  </si>
  <si>
    <t xml:space="preserve">Répartition des items livrés par type : features, defects, dette technique, risques/enablers.</t>
  </si>
  <si>
    <t xml:space="preserve">COUNT par type / COUNT total, par PI</t>
  </si>
  <si>
    <t xml:space="preserve">Comparer à l'allocation cible décidée en amont. L'écart est l'information.</t>
  </si>
  <si>
    <t xml:space="preserve">Une distribution 'saine' n'existe pas dans l'absolu : elle dépend de l'intention stratégique.</t>
  </si>
  <si>
    <t xml:space="preserve">SAF-02</t>
  </si>
  <si>
    <t xml:space="preserve">Flow Velocity</t>
  </si>
  <si>
    <t xml:space="preserve">ART</t>
  </si>
  <si>
    <t xml:space="preserve">Nombre d'items terminés par période, en compte absolu (pas en points).</t>
  </si>
  <si>
    <t xml:space="preserve">Se distingue de la vélocité en points : compte des items, pas des estimations relatives.</t>
  </si>
  <si>
    <t xml:space="preserve">Sensible à la taille moyenne des items : une baisse peut refléter des items plus gros.</t>
  </si>
  <si>
    <t xml:space="preserve">SAF-03</t>
  </si>
  <si>
    <t xml:space="preserve">Flow Time</t>
  </si>
  <si>
    <t xml:space="preserve">Temps calendaire écoulé entre le début du travail et la livraison au client.</t>
  </si>
  <si>
    <t xml:space="preserve">Date livraison − date début ; loi de Little : Flow Time = Flow Load / Flow Velocity</t>
  </si>
  <si>
    <t xml:space="preserve">À lire en p85 pour les engagements.</t>
  </si>
  <si>
    <t xml:space="preserve">Exige un horodatage fiable des états. Sans historisation, non calculable.</t>
  </si>
  <si>
    <t xml:space="preserve">SAF-04</t>
  </si>
  <si>
    <t xml:space="preserve">Flow Load</t>
  </si>
  <si>
    <t xml:space="preserve">Nombre d'items actifs dans le système à un instant donné (WIP au niveau ART).</t>
  </si>
  <si>
    <t xml:space="preserve">COUNT(items en cours)</t>
  </si>
  <si>
    <t xml:space="preserve">Flow Load qui monte pendant que Flow Velocity baisse = réduire le WIP avant d'accepter du nouveau.</t>
  </si>
  <si>
    <t xml:space="preserve">Mesuré au niveau ART, il masque des déséquilibres forts entre équipes.</t>
  </si>
  <si>
    <t xml:space="preserve">SAF-05</t>
  </si>
  <si>
    <t xml:space="preserve">Flow Efficiency</t>
  </si>
  <si>
    <t xml:space="preserve">Part du Flow Time passée en travail actif plutôt qu'en attente.</t>
  </si>
  <si>
    <t xml:space="preserve">Temps actif / Flow Time total</t>
  </si>
  <si>
    <t xml:space="preserve">Transitions avec états d'attente</t>
  </si>
  <si>
    <t xml:space="preserve">Mesurer sa propre valeur de départ puis suivre la tendance.</t>
  </si>
  <si>
    <t xml:space="preserve">Les benchmarks externes (souvent cités entre 5 et 15% en travail intellectuel) ne valent pas cible.</t>
  </si>
  <si>
    <t xml:space="preserve">SAF-06</t>
  </si>
  <si>
    <t xml:space="preserve">Flow Predictability</t>
  </si>
  <si>
    <t xml:space="preserve">ART/Solution Train</t>
  </si>
  <si>
    <t xml:space="preserve">Capacité à livrer la valeur métier planifiée sur les PI Objectives.</t>
  </si>
  <si>
    <t xml:space="preserve">Valeur métier livrée / valeur métier planifiée</t>
  </si>
  <si>
    <t xml:space="preserve">PI Objectives notés en BV</t>
  </si>
  <si>
    <t xml:space="preserve">Zone attendue 80-100%. Systématiquement &gt;100% = sous-engagement.</t>
  </si>
  <si>
    <t xml:space="preserve">La notation de la business value est subjective et négociée : l'indicateur mesure autant la négociation que la livraison.</t>
  </si>
  <si>
    <t xml:space="preserve">SAF-07</t>
  </si>
  <si>
    <t xml:space="preserve">Exécution PI</t>
  </si>
  <si>
    <t xml:space="preserve">PI Predictability Measure</t>
  </si>
  <si>
    <t xml:space="preserve">Prévisibilité par équipe, agrégée au niveau ART.</t>
  </si>
  <si>
    <t xml:space="preserve">Σ BV réel (objectifs engagés) / Σ BV planifié, par équipe puis moyenne ART</t>
  </si>
  <si>
    <t xml:space="preserve">PI Objectives</t>
  </si>
  <si>
    <t xml:space="preserve">Publier la dispersion inter-équipes, pas seulement la moyenne ART.</t>
  </si>
  <si>
    <t xml:space="preserve">Les objectifs 'stretch' comptent dans le réalisé mais pas dans le planifié : c'est ce qui permet de dépasser 100%.</t>
  </si>
  <si>
    <t xml:space="preserve">SAF-08</t>
  </si>
  <si>
    <t xml:space="preserve">Taux d'atteinte des objectifs stretch</t>
  </si>
  <si>
    <t xml:space="preserve">Part des objectifs optionnels effectivement livrés.</t>
  </si>
  <si>
    <t xml:space="preserve">Stretch livrés / stretch définis</t>
  </si>
  <si>
    <t xml:space="preserve">Taux élevé et constant = engagement initial trop prudent.</t>
  </si>
  <si>
    <t xml:space="preserve">Le stretch sert parfois à masquer un engagement volontairement bas.</t>
  </si>
  <si>
    <t xml:space="preserve">SAF-09</t>
  </si>
  <si>
    <t xml:space="preserve">Features livrées vs planifiées</t>
  </si>
  <si>
    <t xml:space="preserve">Réalisation du contenu du PI.</t>
  </si>
  <si>
    <t xml:space="preserve">Features Done / features planifiées au PI planning</t>
  </si>
  <si>
    <t xml:space="preserve">À croiser avec SAF-06 : livrer 100% des features sans valeur n'est pas un succès.</t>
  </si>
  <si>
    <t xml:space="preserve">Ne dit rien de la valeur ; c'est un indicateur d'output.</t>
  </si>
  <si>
    <t xml:space="preserve">SAF-10</t>
  </si>
  <si>
    <t xml:space="preserve">Confiance moyenne (confidence vote)</t>
  </si>
  <si>
    <t xml:space="preserve">Vote de confiance à l'issue du PI planning.</t>
  </si>
  <si>
    <t xml:space="preserve">Moyenne des votes (échelle 1-5)</t>
  </si>
  <si>
    <t xml:space="preserve">PI planning</t>
  </si>
  <si>
    <t xml:space="preserve">&lt;3 = plan non tenable, replanification à instruire.</t>
  </si>
  <si>
    <t xml:space="preserve">Perd toute valeur s'il devient un rituel de conformité où voter bas est mal vu.</t>
  </si>
  <si>
    <t xml:space="preserve">SAF-11</t>
  </si>
  <si>
    <t xml:space="preserve">Risques ROAM</t>
  </si>
  <si>
    <t xml:space="preserve">Risques identifiés en PI planning classés Resolved / Owned / Accepted / Mitigated.</t>
  </si>
  <si>
    <t xml:space="preserve">COUNT par catégorie ; suivi des Owned sur le PI</t>
  </si>
  <si>
    <t xml:space="preserve">PI planning, suivi ART</t>
  </si>
  <si>
    <t xml:space="preserve">Par PI + mensuelle</t>
  </si>
  <si>
    <t xml:space="preserve">Les Owned non traités en fin de PI sont le point de contrôle réel.</t>
  </si>
  <si>
    <t xml:space="preserve">Le ROAM est fait en fin de PI planning et rarement rouvert ensuite.</t>
  </si>
  <si>
    <t xml:space="preserve">SAF-12</t>
  </si>
  <si>
    <t xml:space="preserve">Dépendances inter-équipes identifiées / résolues</t>
  </si>
  <si>
    <t xml:space="preserve">Suivi du programme board issu du PI planning.</t>
  </si>
  <si>
    <t xml:space="preserve">Dépendances résolues / identifiées</t>
  </si>
  <si>
    <t xml:space="preserve">Program board, Jira</t>
  </si>
  <si>
    <t xml:space="preserve">Ventiler par équipe fournisseuse.</t>
  </si>
  <si>
    <t xml:space="preserve">Les dépendances découvertes après le PI planning sont les plus dangereuses et ne figurent pas au board initial.</t>
  </si>
  <si>
    <t xml:space="preserve">SAF-13</t>
  </si>
  <si>
    <t xml:space="preserve">Kanban portefeuille</t>
  </si>
  <si>
    <t xml:space="preserve">Lead time des epics par état</t>
  </si>
  <si>
    <t xml:space="preserve">Temps passé par epic dans chaque état : Funnel, Reviewing, Analyzing, Portfolio Backlog, Implementing, Done.</t>
  </si>
  <si>
    <t xml:space="preserve">Date sortie état − date entrée état</t>
  </si>
  <si>
    <t xml:space="preserve">Le temps en Funnel/Analyzing est souvent supérieur au temps d'implémentation.</t>
  </si>
  <si>
    <t xml:space="preserve">Rarement instrumenté ; c'est pourtant là que se situe la majorité du délai.</t>
  </si>
  <si>
    <t xml:space="preserve">SAF-14</t>
  </si>
  <si>
    <t xml:space="preserve">WIP par état du Kanban portefeuille</t>
  </si>
  <si>
    <t xml:space="preserve">Nombre d'epics simultanément dans chaque état vs limite définie.</t>
  </si>
  <si>
    <t xml:space="preserve">COUNT par état / limite WIP</t>
  </si>
  <si>
    <t xml:space="preserve">Dépassement de limite = décision de priorisation non prise.</t>
  </si>
  <si>
    <t xml:space="preserve">Les limites de WIP portefeuille sont souvent définies puis jamais respectées.</t>
  </si>
  <si>
    <t xml:space="preserve">SAF-15</t>
  </si>
  <si>
    <t xml:space="preserve">Taux d'abandon en analyse</t>
  </si>
  <si>
    <t xml:space="preserve">Part des epics arrêtés avant implémentation.</t>
  </si>
  <si>
    <t xml:space="preserve">Epics abandonnés / epics entrés en Analyzing</t>
  </si>
  <si>
    <t xml:space="preserve">Un taux nul indique une absence de sélection réelle.</t>
  </si>
  <si>
    <t xml:space="preserve">Interprété à tort comme un gaspillage : arrêter tôt est le but du Kanban portefeuille.</t>
  </si>
  <si>
    <t xml:space="preserve">SAF-16</t>
  </si>
  <si>
    <t xml:space="preserve">Priorisation</t>
  </si>
  <si>
    <t xml:space="preserve">Respect du séquencement WSJF</t>
  </si>
  <si>
    <t xml:space="preserve">Portefeuille/ART</t>
  </si>
  <si>
    <t xml:space="preserve">Cohérence entre l'ordre WSJF et l'ordre réel de démarrage.</t>
  </si>
  <si>
    <t xml:space="preserve">Corrélation rang WSJF / rang de démarrage effectif</t>
  </si>
  <si>
    <t xml:space="preserve">Backlog priorisé</t>
  </si>
  <si>
    <t xml:space="preserve">Divergence forte = priorisation économique contournée.</t>
  </si>
  <si>
    <t xml:space="preserve">Le WSJF est souvent recalculé a posteriori pour justifier un choix déjà fait.</t>
  </si>
  <si>
    <t xml:space="preserve">SAF-17</t>
  </si>
  <si>
    <t xml:space="preserve">Coût du délai (Cost of Delay)</t>
  </si>
  <si>
    <t xml:space="preserve">Valeur perdue par unité de temps de retard sur un epic.</t>
  </si>
  <si>
    <t xml:space="preserve">Business value + criticité temporelle + réduction risque/opportunité</t>
  </si>
  <si>
    <t xml:space="preserve">Business cases</t>
  </si>
  <si>
    <t xml:space="preserve">Par cycle de priorisation</t>
  </si>
  <si>
    <t xml:space="preserve">Sert au calcul WSJF (CoD / taille du job).</t>
  </si>
  <si>
    <t xml:space="preserve">Estimation relative, non monétaire dans SAFe. Ne pas la présenter comme un chiffrage financier.</t>
  </si>
  <si>
    <t xml:space="preserve">SAF-18</t>
  </si>
  <si>
    <t xml:space="preserve">Lean budget</t>
  </si>
  <si>
    <t xml:space="preserve">Dépense par value stream vs budget alloué</t>
  </si>
  <si>
    <t xml:space="preserve">Consommation réelle rapportée au budget de chaque value stream.</t>
  </si>
  <si>
    <t xml:space="preserve">Coûts VS / budget VS</t>
  </si>
  <si>
    <t xml:space="preserve">Finance, taxonomie VS</t>
  </si>
  <si>
    <t xml:space="preserve">Remplace le suivi budgétaire par projet en LPM.</t>
  </si>
  <si>
    <t xml:space="preserve">Impose une comptabilité analytique par value stream, rarement en place dans les DSI traditionnelles.</t>
  </si>
  <si>
    <t xml:space="preserve">SAF-19</t>
  </si>
  <si>
    <t xml:space="preserve">Respect des guardrails</t>
  </si>
  <si>
    <t xml:space="preserve">Conformité aux règles d'investissement fixées (horizons, allocation par type).</t>
  </si>
  <si>
    <t xml:space="preserve">Écart réel / guardrail par catégorie</t>
  </si>
  <si>
    <t xml:space="preserve">Décisions LPM</t>
  </si>
  <si>
    <t xml:space="preserve">Écart persistant = guardrail à réviser ou gouvernance non appliquée.</t>
  </si>
  <si>
    <t xml:space="preserve">Guardrail non chiffré = non contrôlable.</t>
  </si>
  <si>
    <t xml:space="preserve">SAF-20</t>
  </si>
  <si>
    <t xml:space="preserve">Réallocations par cycle</t>
  </si>
  <si>
    <t xml:space="preserve">Nombre et montant des transferts de budget entre value streams.</t>
  </si>
  <si>
    <t xml:space="preserve">COUNT et Σ € des réallocations</t>
  </si>
  <si>
    <t xml:space="preserve">Une agilité budgétaire nulle contredit le principe des lean budgets.</t>
  </si>
  <si>
    <t xml:space="preserve">Zéro réallocation = budget annuel figé déguisé en lean budget.</t>
  </si>
  <si>
    <t xml:space="preserve">SAF-21</t>
  </si>
  <si>
    <t xml:space="preserve">Décisions persévérer / pivoter / arrêter</t>
  </si>
  <si>
    <t xml:space="preserve">Suivi des décisions prises après évaluation des MVP d'epics.</t>
  </si>
  <si>
    <t xml:space="preserve">COUNT par type de décision</t>
  </si>
  <si>
    <t xml:space="preserve">Instances LPM</t>
  </si>
  <si>
    <t xml:space="preserve">Absence de décision 'arrêter' = le dispositif MVP ne sert à rien.</t>
  </si>
  <si>
    <t xml:space="preserve">Le biais d'engagement fait que presque toutes les décisions sont 'persévérer'.</t>
  </si>
  <si>
    <t xml:space="preserve">SAF-22</t>
  </si>
  <si>
    <t xml:space="preserve">Cadence</t>
  </si>
  <si>
    <t xml:space="preserve">Régularité des événements ART</t>
  </si>
  <si>
    <t xml:space="preserve">Tenue effective des System Demos, I&amp;A, PI Planning aux dates prévues.</t>
  </si>
  <si>
    <t xml:space="preserve">Événements tenus / événements planifiés</t>
  </si>
  <si>
    <t xml:space="preserve">Calendrier ART</t>
  </si>
  <si>
    <t xml:space="preserve">System Demo non tenue = pas de boucle de feedback intégrée.</t>
  </si>
  <si>
    <t xml:space="preserve">Indicateur de conformité : la tenue n'implique pas la qualité.</t>
  </si>
  <si>
    <t xml:space="preserve">SAF-23</t>
  </si>
  <si>
    <t xml:space="preserve">Participation au PI Planning</t>
  </si>
  <si>
    <t xml:space="preserve">Taux de présence des équipes et des business owners.</t>
  </si>
  <si>
    <t xml:space="preserve">Présents / attendus</t>
  </si>
  <si>
    <t xml:space="preserve">Feuille de présence</t>
  </si>
  <si>
    <t xml:space="preserve">Absence des business owners = objectifs non arbitrés.</t>
  </si>
  <si>
    <t xml:space="preserve">Facilement gonflé par les présences partielles en distanciel.</t>
  </si>
  <si>
    <t xml:space="preserve">SAF-24</t>
  </si>
  <si>
    <t xml:space="preserve">Maturité</t>
  </si>
  <si>
    <t xml:space="preserve">Assessments Measure &amp; Grow</t>
  </si>
  <si>
    <t xml:space="preserve">Auto-évaluations de maturité par discipline SAFe et Business Agility.</t>
  </si>
  <si>
    <t xml:space="preserve">Score item = moyenne des réponses (échelle 1-5) ; score compétence = moyenne des items ; score discipline = moyenne des compétences. Suivi en delta entre deux passages</t>
  </si>
  <si>
    <t xml:space="preserve">Assessments Scaled Agile</t>
  </si>
  <si>
    <t xml:space="preserve">Semestrielle</t>
  </si>
  <si>
    <t xml:space="preserve">Utile en delta entre deux passages, pas en valeur absolue.</t>
  </si>
  <si>
    <t xml:space="preserve">Auto-déclaratif : mesure la perception de maturité, pas la performance.</t>
  </si>
  <si>
    <t xml:space="preserve">VAL-01</t>
  </si>
  <si>
    <t xml:space="preserve">Valeur &amp; bénéfices</t>
  </si>
  <si>
    <t xml:space="preserve">Bénéfices</t>
  </si>
  <si>
    <t xml:space="preserve">Taux de réalisation des bénéfices</t>
  </si>
  <si>
    <t xml:space="preserve">Bénéfices constatés rapportés aux bénéfices annoncés au business case.</t>
  </si>
  <si>
    <t xml:space="preserve">Bénéfices réalisés / bénéfices prévus</t>
  </si>
  <si>
    <t xml:space="preserve">Business case, mesures post-MEP</t>
  </si>
  <si>
    <t xml:space="preserve">Mesuré 6 à 18 mois après la mise en service.</t>
  </si>
  <si>
    <t xml:space="preserve">Presque jamais mesuré. C'est l'angle mort structurel de la quasi-totalité des PMO.</t>
  </si>
  <si>
    <t xml:space="preserve">VAL-02</t>
  </si>
  <si>
    <t xml:space="preserve">Projets avec bénéfice mesurable défini</t>
  </si>
  <si>
    <t xml:space="preserve">Part des projets dotés d'un indicateur de bénéfice chiffré et d'un responsable de sa mesure.</t>
  </si>
  <si>
    <t xml:space="preserve">Projets avec KPI bénéfice / projets engagés</t>
  </si>
  <si>
    <t xml:space="preserve">Condition préalable à VAL-01.</t>
  </si>
  <si>
    <t xml:space="preserve">Un bénéfice sans propriétaire métier nommé ne sera jamais mesuré.</t>
  </si>
  <si>
    <t xml:space="preserve">VAL-03</t>
  </si>
  <si>
    <t xml:space="preserve">Financier</t>
  </si>
  <si>
    <t xml:space="preserve">ROI réalisé vs business case</t>
  </si>
  <si>
    <t xml:space="preserve">Retour sur investissement constaté comparé au prévisionnel.</t>
  </si>
  <si>
    <t xml:space="preserve">(Bénéfices − coûts) / coûts, réel vs prévu</t>
  </si>
  <si>
    <t xml:space="preserve">Finance, business case</t>
  </si>
  <si>
    <t xml:space="preserve">Annuelle</t>
  </si>
  <si>
    <t xml:space="preserve">Écart systématiquement positif = business cases gonflés à l'entrée.</t>
  </si>
  <si>
    <t xml:space="preserve">Nécessite d'isoler l'effet du projet des autres facteurs, souvent impossible.</t>
  </si>
  <si>
    <t xml:space="preserve">VAL-04</t>
  </si>
  <si>
    <t xml:space="preserve">VAN / TRI / délai de retour</t>
  </si>
  <si>
    <t xml:space="preserve">Indicateurs d'investissement, prévus puis réévalués.</t>
  </si>
  <si>
    <t xml:space="preserve">VAN = Σ [flux(t) / (1+i)^t] − I0 ; TRI = i tel que VAN = 0 ; payback = plus petit T tel que Σ flux(t) ≥ I0. i = taux d actualisation DAF</t>
  </si>
  <si>
    <t xml:space="preserve">Business case</t>
  </si>
  <si>
    <t xml:space="preserve">Le taux d'actualisation doit être celui de la DAF, pas un taux improvisé.</t>
  </si>
  <si>
    <t xml:space="preserve">Très sensible aux hypothèses d'horizon et de taux : afficher les hypothèses avec le résultat.</t>
  </si>
  <si>
    <t xml:space="preserve">VAL-05</t>
  </si>
  <si>
    <t xml:space="preserve">Adoption</t>
  </si>
  <si>
    <t xml:space="preserve">Taux d'adoption de la solution</t>
  </si>
  <si>
    <t xml:space="preserve">Projet/Produit</t>
  </si>
  <si>
    <t xml:space="preserve">Utilisation effective par la population cible après mise en service.</t>
  </si>
  <si>
    <t xml:space="preserve">Utilisateurs actifs / utilisateurs cibles</t>
  </si>
  <si>
    <t xml:space="preserve">Télémétrie applicative</t>
  </si>
  <si>
    <t xml:space="preserve">Mensuelle post-MEP</t>
  </si>
  <si>
    <t xml:space="preserve">Adoption faible = bénéfices non atteignables quel que soit le respect du planning.</t>
  </si>
  <si>
    <t xml:space="preserve">Nécessite une instrumentation prévue avant la MEP, pas après.</t>
  </si>
  <si>
    <t xml:space="preserve">VAL-06</t>
  </si>
  <si>
    <t xml:space="preserve">Satisfaction utilisateurs (CSAT / NPS)</t>
  </si>
  <si>
    <t xml:space="preserve">Produit</t>
  </si>
  <si>
    <t xml:space="preserve">Perception de la solution par ses utilisateurs.</t>
  </si>
  <si>
    <t xml:space="preserve">NPS = %promoteurs (9-10) − %détracteurs (0-6). CSAT = réponses 4-5 / réponses totales (échelle 1-5)</t>
  </si>
  <si>
    <t xml:space="preserve">Enquêtes</t>
  </si>
  <si>
    <t xml:space="preserve">Suivre la tendance et les verbatims, pas le score seul.</t>
  </si>
  <si>
    <t xml:space="preserve">Un NPS interne n'est pas comparable à un NPS marché.</t>
  </si>
  <si>
    <t xml:space="preserve">VAL-07</t>
  </si>
  <si>
    <t xml:space="preserve">Délai</t>
  </si>
  <si>
    <t xml:space="preserve">Time-to-first-value</t>
  </si>
  <si>
    <t xml:space="preserve">Délai entre décision d'investissement et premier bénéfice constaté.</t>
  </si>
  <si>
    <t xml:space="preserve">Date premier bénéfice mesuré − date décision</t>
  </si>
  <si>
    <t xml:space="preserve">Business case, mesures</t>
  </si>
  <si>
    <t xml:space="preserve">Par projet</t>
  </si>
  <si>
    <t xml:space="preserve">Un projet à valeur unique en fin de parcours porte tout le risque en fin de course.</t>
  </si>
  <si>
    <t xml:space="preserve">Suppose un découpage en incréments de valeur, absent des projets en cycle long.</t>
  </si>
  <si>
    <t xml:space="preserve">VAL-08</t>
  </si>
  <si>
    <t xml:space="preserve">Stratégie</t>
  </si>
  <si>
    <t xml:space="preserve">Atteinte des OKR / KR</t>
  </si>
  <si>
    <t xml:space="preserve">Progression des résultats clés rattachés aux objectifs stratégiques.</t>
  </si>
  <si>
    <t xml:space="preserve">Moyenne pondérée des KR atteints</t>
  </si>
  <si>
    <t xml:space="preserve">Outil OKR</t>
  </si>
  <si>
    <t xml:space="preserve">Le lien entre projets et KR doit être explicite, sinon l'alignement est déclaratif.</t>
  </si>
  <si>
    <t xml:space="preserve">Les OKR détournés en objectifs de production perdent leur fonction.</t>
  </si>
  <si>
    <t xml:space="preserve">VAL-09</t>
  </si>
  <si>
    <t xml:space="preserve">Taux d'arrêt de projets</t>
  </si>
  <si>
    <t xml:space="preserve">Part des projets arrêtés avant achèvement.</t>
  </si>
  <si>
    <t xml:space="preserve">Projets arrêtés / projets actifs sur la période</t>
  </si>
  <si>
    <t xml:space="preserve">Décisions portefeuille</t>
  </si>
  <si>
    <t xml:space="preserve">Un taux nul est un signal négatif : aucun portefeuille n'a 100% de bons paris.</t>
  </si>
  <si>
    <t xml:space="preserve">Culturellement lu comme un échec, alors qu'il mesure la capacité d'arbitrage.</t>
  </si>
  <si>
    <t xml:space="preserve">VAL-10</t>
  </si>
  <si>
    <t xml:space="preserve">Capital préservé par les arrêts</t>
  </si>
  <si>
    <t xml:space="preserve">Budget résiduel non dépensé sur les projets arrêtés.</t>
  </si>
  <si>
    <t xml:space="preserve">Σ (budget restant à l'arrêt)</t>
  </si>
  <si>
    <t xml:space="preserve">Décisions, budgets</t>
  </si>
  <si>
    <t xml:space="preserve">Valorise la décision d'arrêt auprès du CODIR.</t>
  </si>
  <si>
    <t xml:space="preserve">Ne pas le présenter comme une économie nette : une partie a déjà été dépensée.</t>
  </si>
  <si>
    <t xml:space="preserve">VAL-11</t>
  </si>
  <si>
    <t xml:space="preserve">Projets avec bilan post-mise en œuvre</t>
  </si>
  <si>
    <t xml:space="preserve">Part des projets clos ayant fait l'objet d'un retour d'expérience formalisé.</t>
  </si>
  <si>
    <t xml:space="preserve">Projets avec PIR / projets clos</t>
  </si>
  <si>
    <t xml:space="preserve">Archives projets</t>
  </si>
  <si>
    <t xml:space="preserve">&lt;50% = pas de capitalisation.</t>
  </si>
  <si>
    <t xml:space="preserve">Le PIR est le premier livrable sacrifié en fin de projet.</t>
  </si>
  <si>
    <t xml:space="preserve">GOU-01</t>
  </si>
  <si>
    <t xml:space="preserve">Gouvernance &amp; reporting</t>
  </si>
  <si>
    <t xml:space="preserve">Complétude des fiches projet</t>
  </si>
  <si>
    <t xml:space="preserve">Part des champs obligatoires renseignés.</t>
  </si>
  <si>
    <t xml:space="preserve">Champs renseignés / champs obligatoires</t>
  </si>
  <si>
    <t xml:space="preserve">Outil PPM</t>
  </si>
  <si>
    <t xml:space="preserve">&lt;90% = reporting portefeuille non exploitable.</t>
  </si>
  <si>
    <t xml:space="preserve">Un champ rempli n'est pas un champ juste.</t>
  </si>
  <si>
    <t xml:space="preserve">GOU-02</t>
  </si>
  <si>
    <t xml:space="preserve">Fraîcheur des données</t>
  </si>
  <si>
    <t xml:space="preserve">Ancienneté de la dernière mise à jour par projet.</t>
  </si>
  <si>
    <t xml:space="preserve">Date du jour − date dernière MAJ</t>
  </si>
  <si>
    <t xml:space="preserve">&gt;30 jours = projet à considérer comme non suivi.</t>
  </si>
  <si>
    <t xml:space="preserve">À afficher en tête de tout dashboard portefeuille, avant les chiffres eux-mêmes.</t>
  </si>
  <si>
    <t xml:space="preserve">GOU-03</t>
  </si>
  <si>
    <t xml:space="preserve">Écart RAG déclaré / RAG calculé</t>
  </si>
  <si>
    <t xml:space="preserve">Divergence entre le statut annoncé par le chef de projet et le statut dérivé des données.</t>
  </si>
  <si>
    <t xml:space="preserve">COUNT(RAG déclaré ≠ RAG calculé) / projets</t>
  </si>
  <si>
    <t xml:space="preserve">Fiches projet + règles de calcul</t>
  </si>
  <si>
    <t xml:space="preserve">Écart élevé = reporting pastèque (vert dehors, rouge dedans).</t>
  </si>
  <si>
    <t xml:space="preserve">Politiquement explosif. À utiliser en régulation interne PMO, pas en COPIL nominatif.</t>
  </si>
  <si>
    <t xml:space="preserve">GOU-04</t>
  </si>
  <si>
    <t xml:space="preserve">Statut</t>
  </si>
  <si>
    <t xml:space="preserve">Répartition des statuts RAG</t>
  </si>
  <si>
    <t xml:space="preserve">Ventilation des projets par statut global.</t>
  </si>
  <si>
    <t xml:space="preserve">COUNT par statut / total</t>
  </si>
  <si>
    <t xml:space="preserve">Fiches projet</t>
  </si>
  <si>
    <t xml:space="preserve">Une distribution stable à 90% vert sur un portefeuille de 70 projets est statistiquement invraisemblable.</t>
  </si>
  <si>
    <t xml:space="preserve">Le RAG doit porter sur l'atterrissage prévisionnel, pas sur le ressenti du mois.</t>
  </si>
  <si>
    <t xml:space="preserve">GOU-05</t>
  </si>
  <si>
    <t xml:space="preserve">Durée en statut rouge</t>
  </si>
  <si>
    <t xml:space="preserve">Nombre de mois consécutifs au rouge.</t>
  </si>
  <si>
    <t xml:space="preserve">COUNT(mois consécutifs statut rouge)</t>
  </si>
  <si>
    <t xml:space="preserve">Historique statuts</t>
  </si>
  <si>
    <t xml:space="preserve">&gt;3 mois = escalade ou décision d'arrêt à instruire.</t>
  </si>
  <si>
    <t xml:space="preserve">Un rouge permanent devient invisible : c'est le mécanisme d'accoutumance le plus courant.</t>
  </si>
  <si>
    <t xml:space="preserve">GOU-06</t>
  </si>
  <si>
    <t xml:space="preserve">Décision</t>
  </si>
  <si>
    <t xml:space="preserve">Actions d'instance closes dans les délais</t>
  </si>
  <si>
    <t xml:space="preserve">Suivi des relevés de décision.</t>
  </si>
  <si>
    <t xml:space="preserve">Actions closes à échéance / actions ouvertes</t>
  </si>
  <si>
    <t xml:space="preserve">&lt;70% = instance sans effet exécutif.</t>
  </si>
  <si>
    <t xml:space="preserve">Nécessite un pilote et une date sur chaque action, sinon non mesurable.</t>
  </si>
  <si>
    <t xml:space="preserve">GOU-07</t>
  </si>
  <si>
    <t xml:space="preserve">Points en attente d'arbitrage</t>
  </si>
  <si>
    <t xml:space="preserve">Volume et ancienneté des décisions non rendues.</t>
  </si>
  <si>
    <t xml:space="preserve">COUNT ; âge moyen</t>
  </si>
  <si>
    <t xml:space="preserve">À rapprocher des jalons bloqués par ces décisions.</t>
  </si>
  <si>
    <t xml:space="preserve">Sans lien vers l'impact planning, l'indicateur ne provoque aucune réaction.</t>
  </si>
  <si>
    <t xml:space="preserve">GOU-08</t>
  </si>
  <si>
    <t xml:space="preserve">Conformité</t>
  </si>
  <si>
    <t xml:space="preserve">Respect des jalons de gouvernance (gates)</t>
  </si>
  <si>
    <t xml:space="preserve">Passage effectif des points de décision obligatoires.</t>
  </si>
  <si>
    <t xml:space="preserve">Gates franchies formellement / gates attendues</t>
  </si>
  <si>
    <t xml:space="preserve">Décisions, jalons</t>
  </si>
  <si>
    <t xml:space="preserve">Projet en exécution sans gate franchie = anomalie de contrôle interne.</t>
  </si>
  <si>
    <t xml:space="preserve">Le franchissement formel ne garantit pas l'instruction réelle du dossier.</t>
  </si>
  <si>
    <t xml:space="preserve">GOU-09</t>
  </si>
  <si>
    <t xml:space="preserve">Projets sans sponsor ou sans chef de projet</t>
  </si>
  <si>
    <t xml:space="preserve">Volume de projets sans responsabilité identifiée.</t>
  </si>
  <si>
    <t xml:space="preserve">COUNT(projets sans sponsor ou sans CP)</t>
  </si>
  <si>
    <t xml:space="preserve">Référentiel projets</t>
  </si>
  <si>
    <t xml:space="preserve">Toute valeur &gt; 0 est à traiter.</t>
  </si>
  <si>
    <t xml:space="preserve">Fréquent sur les portefeuilles hérités ou après réorganisation.</t>
  </si>
  <si>
    <t xml:space="preserve">GOU-10</t>
  </si>
  <si>
    <t xml:space="preserve">Projets hors référentiel</t>
  </si>
  <si>
    <t xml:space="preserve">Projets actifs consommant du budget sans exister dans le portefeuille officiel.</t>
  </si>
  <si>
    <t xml:space="preserve">COUNT(lignes budgétaires actives sans projet référencé) ; montant = Σ engagé sur ces lignes</t>
  </si>
  <si>
    <t xml:space="preserve">Finance vs PPM</t>
  </si>
  <si>
    <t xml:space="preserve">Mesure le shadow IT et le portefeuille réel vs déclaré.</t>
  </si>
  <si>
    <t xml:space="preserve">Nécessite un rapprochement avec la comptabilité, rarement fait.</t>
  </si>
  <si>
    <t xml:space="preserve">GOU-11</t>
  </si>
  <si>
    <t xml:space="preserve">Charge de production du reporting</t>
  </si>
  <si>
    <t xml:space="preserve">Jours-homme consommés par le cycle de reporting mensuel.</t>
  </si>
  <si>
    <t xml:space="preserve">Σ jours saisie + consolidation + production</t>
  </si>
  <si>
    <t xml:space="preserve">Timesheets PMO</t>
  </si>
  <si>
    <t xml:space="preserve">À rapporter au nombre de décisions effectivement prises sur la base de ce reporting.</t>
  </si>
  <si>
    <t xml:space="preserve">Indicateur que les PMO évitent de produire. C'est pourtant le seul qui justifie l'automatisation.</t>
  </si>
  <si>
    <t xml:space="preserve">Répartition du catalogue</t>
  </si>
  <si>
    <t xml:space="preserve">Total</t>
  </si>
  <si>
    <t xml:space="preserve">Répartition par méthode</t>
  </si>
  <si>
    <t xml:space="preserve">Nombre</t>
  </si>
  <si>
    <t xml:space="preserve">P1 = socle indispensable · P2 = second palier · P3 = optionnel ou dépendant d'un outillage tiers</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</si>
</sst>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95959"/>
      <name val="Arial"/>
      <family val="0"/>
      <charset val="1"/>
    </font>
    <font>
      <sz val="10"/>
      <name val="Arial"/>
      <family val="0"/>
      <charset val="1"/>
    </font>
    <font>
      <b val="true"/>
      <sz val="11"/>
      <color rgb="FF1F3864"/>
      <name val="Arial"/>
      <family val="0"/>
      <charset val="1"/>
    </font>
    <font>
      <b val="true"/>
      <sz val="10"/>
      <color rgb="FFFFFFFF"/>
      <name val="Arial"/>
      <family val="0"/>
      <charset val="1"/>
    </font>
    <font>
      <b val="true"/>
      <sz val="9"/>
      <name val="Arial"/>
      <family val="0"/>
      <charset val="1"/>
    </font>
    <font>
      <sz val="9"/>
      <name val="Arial"/>
      <family val="0"/>
      <charset val="1"/>
    </font>
    <font>
      <b val="true"/>
      <sz val="13"/>
      <color rgb="FF1F3864"/>
      <name val="Arial"/>
      <family val="0"/>
      <charset val="1"/>
    </font>
    <font>
      <b val="true"/>
      <sz val="10"/>
      <name val="Arial"/>
      <family val="0"/>
      <charset val="1"/>
    </font>
    <font>
      <i val="true"/>
      <sz val="9"/>
      <color rgb="FF59595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AFAFA"/>
        <bgColor rgb="FFFFFFFF"/>
      </patternFill>
    </fill>
    <fill>
      <patternFill patternType="solid">
        <fgColor rgb="FFC6E0B4"/>
        <bgColor rgb="FFD9E2F3"/>
      </patternFill>
    </fill>
    <fill>
      <patternFill patternType="solid">
        <fgColor rgb="FFFFE699"/>
        <bgColor rgb="FFFFCC99"/>
      </patternFill>
    </fill>
    <fill>
      <patternFill patternType="solid">
        <fgColor rgb="FFF2F2F2"/>
        <bgColor rgb="FFFAFAFA"/>
      </patternFill>
    </fill>
    <fill>
      <patternFill patternType="solid">
        <fgColor rgb="FFD9E2F3"/>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12" fillId="7"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FAFAFA"/>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2F2F2"/>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AFAFA"/>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5"/>
  </cols>
  <sheetData>
    <row r="1" customFormat="false" ht="18"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25.5" hidden="false" customHeight="true" outlineLevel="0" collapsed="false">
      <c r="A5" s="4" t="s">
        <v>3</v>
      </c>
    </row>
    <row r="6" customFormat="false" ht="15" hidden="false" customHeight="true" outlineLevel="0" collapsed="false">
      <c r="A6" s="4"/>
    </row>
    <row r="7" customFormat="false" ht="15" hidden="false" customHeight="true" outlineLevel="0" collapsed="false">
      <c r="A7" s="5" t="s">
        <v>4</v>
      </c>
    </row>
    <row r="8" customFormat="false" ht="51.75" hidden="false" customHeight="true" outlineLevel="0" collapsed="false">
      <c r="A8" s="4" t="s">
        <v>5</v>
      </c>
    </row>
    <row r="9" customFormat="false" ht="39" hidden="false" customHeight="true" outlineLevel="0" collapsed="false">
      <c r="A9" s="4" t="s">
        <v>6</v>
      </c>
    </row>
    <row r="10" customFormat="false" ht="39" hidden="false" customHeight="true" outlineLevel="0" collapsed="false">
      <c r="A10" s="4" t="s">
        <v>7</v>
      </c>
    </row>
    <row r="11" customFormat="false" ht="25.5" hidden="false" customHeight="true" outlineLevel="0" collapsed="false">
      <c r="A11" s="4" t="s">
        <v>8</v>
      </c>
    </row>
    <row r="12" customFormat="false" ht="25.5" hidden="false" customHeight="true" outlineLevel="0" collapsed="false">
      <c r="A12" s="4" t="s">
        <v>9</v>
      </c>
    </row>
    <row r="13" customFormat="false" ht="15" hidden="false" customHeight="true" outlineLevel="0" collapsed="false">
      <c r="A13" s="4"/>
    </row>
    <row r="14" customFormat="false" ht="15" hidden="false" customHeight="true" outlineLevel="0" collapsed="false">
      <c r="A14" s="5" t="s">
        <v>10</v>
      </c>
    </row>
    <row r="15" customFormat="false" ht="64.5" hidden="false" customHeight="true" outlineLevel="0" collapsed="false">
      <c r="A15" s="4" t="s">
        <v>11</v>
      </c>
    </row>
    <row r="16" customFormat="false" ht="15" hidden="false" customHeight="true" outlineLevel="0" collapsed="false">
      <c r="A16" s="4"/>
    </row>
    <row r="17" customFormat="false" ht="15" hidden="false" customHeight="true" outlineLevel="0" collapsed="false">
      <c r="A17" s="5" t="s">
        <v>12</v>
      </c>
    </row>
    <row r="18" customFormat="false" ht="64.5" hidden="false" customHeight="true" outlineLevel="0" collapsed="false">
      <c r="A18" s="4" t="s">
        <v>13</v>
      </c>
    </row>
    <row r="19" customFormat="false" ht="15" hidden="false" customHeight="true" outlineLevel="0" collapsed="false">
      <c r="A19" s="4"/>
    </row>
    <row r="20" customFormat="false" ht="15" hidden="false" customHeight="true" outlineLevel="0" collapsed="false">
      <c r="A20" s="5" t="s">
        <v>14</v>
      </c>
    </row>
    <row r="21" customFormat="false" ht="51.75" hidden="false" customHeight="true" outlineLevel="0" collapsed="false">
      <c r="A21" s="4" t="s">
        <v>15</v>
      </c>
    </row>
    <row r="22" customFormat="false" ht="15" hidden="false" customHeight="true" outlineLevel="0" collapsed="false">
      <c r="A22" s="4"/>
    </row>
    <row r="23" customFormat="false" ht="15" hidden="false" customHeight="true" outlineLevel="0" collapsed="false">
      <c r="A23" s="5" t="s">
        <v>16</v>
      </c>
    </row>
    <row r="24" customFormat="false" ht="90.75" hidden="false" customHeight="true" outlineLevel="0" collapsed="false">
      <c r="A24"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18"/>
    <col collapsed="false" customWidth="true" hidden="false" outlineLevel="0" max="4" min="4" style="1" width="34"/>
    <col collapsed="false" customWidth="true" hidden="false" outlineLevel="0" max="5" min="5" style="1" width="12"/>
    <col collapsed="false" customWidth="true" hidden="false" outlineLevel="0" max="6" min="6" style="1" width="20"/>
    <col collapsed="false" customWidth="true" hidden="false" outlineLevel="0" max="7" min="7" style="1" width="46"/>
    <col collapsed="false" customWidth="true" hidden="false" outlineLevel="0" max="8" min="8" style="1" width="40"/>
    <col collapsed="false" customWidth="true" hidden="false" outlineLevel="0" max="9" min="9" style="1" width="30"/>
    <col collapsed="false" customWidth="true" hidden="false" outlineLevel="0" max="10" min="10" style="1" width="20"/>
    <col collapsed="false" customWidth="true" hidden="false" outlineLevel="0" max="11" min="11" style="1" width="42"/>
    <col collapsed="false" customWidth="true" hidden="false" outlineLevel="0" max="12" min="12" style="1" width="52"/>
    <col collapsed="false" customWidth="true" hidden="false" outlineLevel="0" max="13" min="13" style="1" width="11"/>
  </cols>
  <sheetData>
    <row r="1" customFormat="false" ht="30" hidden="false" customHeight="true" outlineLevel="0" collapsed="false">
      <c r="A1" s="6" t="s">
        <v>18</v>
      </c>
      <c r="B1" s="6" t="s">
        <v>19</v>
      </c>
      <c r="C1" s="6" t="s">
        <v>20</v>
      </c>
      <c r="D1" s="6" t="s">
        <v>21</v>
      </c>
      <c r="E1" s="6" t="s">
        <v>22</v>
      </c>
      <c r="F1" s="6" t="s">
        <v>23</v>
      </c>
      <c r="G1" s="6" t="s">
        <v>24</v>
      </c>
      <c r="H1" s="6" t="s">
        <v>25</v>
      </c>
      <c r="I1" s="6" t="s">
        <v>26</v>
      </c>
      <c r="J1" s="6" t="s">
        <v>27</v>
      </c>
      <c r="K1" s="6" t="s">
        <v>28</v>
      </c>
      <c r="L1" s="6" t="s">
        <v>29</v>
      </c>
      <c r="M1" s="6" t="s">
        <v>30</v>
      </c>
    </row>
    <row r="2" customFormat="false" ht="21.75" hidden="false" customHeight="true" outlineLevel="0" collapsed="false">
      <c r="A2" s="7" t="s">
        <v>31</v>
      </c>
      <c r="B2" s="8" t="s">
        <v>32</v>
      </c>
      <c r="C2" s="8" t="s">
        <v>33</v>
      </c>
      <c r="D2" s="8" t="s">
        <v>34</v>
      </c>
      <c r="E2" s="8" t="s">
        <v>35</v>
      </c>
      <c r="F2" s="8" t="s">
        <v>36</v>
      </c>
      <c r="G2" s="8" t="s">
        <v>37</v>
      </c>
      <c r="H2" s="8" t="s">
        <v>38</v>
      </c>
      <c r="I2" s="8" t="s">
        <v>39</v>
      </c>
      <c r="J2" s="8" t="s">
        <v>40</v>
      </c>
      <c r="K2" s="8" t="s">
        <v>41</v>
      </c>
      <c r="L2" s="8" t="s">
        <v>42</v>
      </c>
      <c r="M2" s="9" t="s">
        <v>43</v>
      </c>
    </row>
    <row r="3" customFormat="false" ht="15" hidden="false" customHeight="true" outlineLevel="0" collapsed="false">
      <c r="A3" s="10" t="s">
        <v>44</v>
      </c>
      <c r="B3" s="11" t="s">
        <v>32</v>
      </c>
      <c r="C3" s="11" t="s">
        <v>33</v>
      </c>
      <c r="D3" s="11" t="s">
        <v>45</v>
      </c>
      <c r="E3" s="11" t="s">
        <v>35</v>
      </c>
      <c r="F3" s="11" t="s">
        <v>36</v>
      </c>
      <c r="G3" s="11" t="s">
        <v>46</v>
      </c>
      <c r="H3" s="11" t="s">
        <v>47</v>
      </c>
      <c r="I3" s="11" t="s">
        <v>48</v>
      </c>
      <c r="J3" s="11" t="s">
        <v>49</v>
      </c>
      <c r="K3" s="11" t="s">
        <v>50</v>
      </c>
      <c r="L3" s="11" t="s">
        <v>51</v>
      </c>
      <c r="M3" s="9" t="s">
        <v>43</v>
      </c>
    </row>
    <row r="4" customFormat="false" ht="21.75" hidden="false" customHeight="true" outlineLevel="0" collapsed="false">
      <c r="A4" s="7" t="s">
        <v>52</v>
      </c>
      <c r="B4" s="8" t="s">
        <v>32</v>
      </c>
      <c r="C4" s="8" t="s">
        <v>33</v>
      </c>
      <c r="D4" s="8" t="s">
        <v>53</v>
      </c>
      <c r="E4" s="8" t="s">
        <v>35</v>
      </c>
      <c r="F4" s="8" t="s">
        <v>36</v>
      </c>
      <c r="G4" s="8" t="s">
        <v>54</v>
      </c>
      <c r="H4" s="8" t="s">
        <v>55</v>
      </c>
      <c r="I4" s="8" t="s">
        <v>56</v>
      </c>
      <c r="J4" s="8" t="s">
        <v>49</v>
      </c>
      <c r="K4" s="8" t="s">
        <v>57</v>
      </c>
      <c r="L4" s="8" t="s">
        <v>58</v>
      </c>
      <c r="M4" s="12" t="s">
        <v>59</v>
      </c>
    </row>
    <row r="5" customFormat="false" ht="21.75" hidden="false" customHeight="true" outlineLevel="0" collapsed="false">
      <c r="A5" s="10" t="s">
        <v>60</v>
      </c>
      <c r="B5" s="11" t="s">
        <v>32</v>
      </c>
      <c r="C5" s="11" t="s">
        <v>61</v>
      </c>
      <c r="D5" s="11" t="s">
        <v>62</v>
      </c>
      <c r="E5" s="11" t="s">
        <v>35</v>
      </c>
      <c r="F5" s="11" t="s">
        <v>36</v>
      </c>
      <c r="G5" s="11" t="s">
        <v>63</v>
      </c>
      <c r="H5" s="11" t="s">
        <v>64</v>
      </c>
      <c r="I5" s="11" t="s">
        <v>65</v>
      </c>
      <c r="J5" s="11" t="s">
        <v>49</v>
      </c>
      <c r="K5" s="11" t="s">
        <v>66</v>
      </c>
      <c r="L5" s="11" t="s">
        <v>67</v>
      </c>
      <c r="M5" s="9" t="s">
        <v>43</v>
      </c>
    </row>
    <row r="6" customFormat="false" ht="21.75" hidden="false" customHeight="true" outlineLevel="0" collapsed="false">
      <c r="A6" s="7" t="s">
        <v>68</v>
      </c>
      <c r="B6" s="8" t="s">
        <v>32</v>
      </c>
      <c r="C6" s="8" t="s">
        <v>61</v>
      </c>
      <c r="D6" s="8" t="s">
        <v>69</v>
      </c>
      <c r="E6" s="8" t="s">
        <v>35</v>
      </c>
      <c r="F6" s="8" t="s">
        <v>36</v>
      </c>
      <c r="G6" s="8" t="s">
        <v>70</v>
      </c>
      <c r="H6" s="8" t="s">
        <v>71</v>
      </c>
      <c r="I6" s="8" t="s">
        <v>72</v>
      </c>
      <c r="J6" s="8" t="s">
        <v>49</v>
      </c>
      <c r="K6" s="8" t="s">
        <v>73</v>
      </c>
      <c r="L6" s="8" t="s">
        <v>74</v>
      </c>
      <c r="M6" s="9" t="s">
        <v>43</v>
      </c>
    </row>
    <row r="7" customFormat="false" ht="21.75" hidden="false" customHeight="true" outlineLevel="0" collapsed="false">
      <c r="A7" s="10" t="s">
        <v>75</v>
      </c>
      <c r="B7" s="11" t="s">
        <v>32</v>
      </c>
      <c r="C7" s="11" t="s">
        <v>61</v>
      </c>
      <c r="D7" s="11" t="s">
        <v>76</v>
      </c>
      <c r="E7" s="11" t="s">
        <v>35</v>
      </c>
      <c r="F7" s="11" t="s">
        <v>36</v>
      </c>
      <c r="G7" s="11" t="s">
        <v>77</v>
      </c>
      <c r="H7" s="11" t="s">
        <v>78</v>
      </c>
      <c r="I7" s="11" t="s">
        <v>79</v>
      </c>
      <c r="J7" s="11" t="s">
        <v>49</v>
      </c>
      <c r="K7" s="11" t="s">
        <v>80</v>
      </c>
      <c r="L7" s="11" t="s">
        <v>81</v>
      </c>
      <c r="M7" s="12" t="s">
        <v>59</v>
      </c>
    </row>
    <row r="8" customFormat="false" ht="21.75" hidden="false" customHeight="true" outlineLevel="0" collapsed="false">
      <c r="A8" s="7" t="s">
        <v>82</v>
      </c>
      <c r="B8" s="8" t="s">
        <v>32</v>
      </c>
      <c r="C8" s="8" t="s">
        <v>83</v>
      </c>
      <c r="D8" s="8" t="s">
        <v>84</v>
      </c>
      <c r="E8" s="8" t="s">
        <v>35</v>
      </c>
      <c r="F8" s="8" t="s">
        <v>36</v>
      </c>
      <c r="G8" s="8" t="s">
        <v>85</v>
      </c>
      <c r="H8" s="8" t="s">
        <v>86</v>
      </c>
      <c r="I8" s="8" t="s">
        <v>87</v>
      </c>
      <c r="J8" s="8" t="s">
        <v>49</v>
      </c>
      <c r="K8" s="8" t="s">
        <v>88</v>
      </c>
      <c r="L8" s="8" t="s">
        <v>89</v>
      </c>
      <c r="M8" s="9" t="s">
        <v>43</v>
      </c>
    </row>
    <row r="9" customFormat="false" ht="21.75" hidden="false" customHeight="true" outlineLevel="0" collapsed="false">
      <c r="A9" s="10" t="s">
        <v>90</v>
      </c>
      <c r="B9" s="11" t="s">
        <v>32</v>
      </c>
      <c r="C9" s="11" t="s">
        <v>83</v>
      </c>
      <c r="D9" s="11" t="s">
        <v>91</v>
      </c>
      <c r="E9" s="11" t="s">
        <v>35</v>
      </c>
      <c r="F9" s="11" t="s">
        <v>36</v>
      </c>
      <c r="G9" s="11" t="s">
        <v>92</v>
      </c>
      <c r="H9" s="11" t="s">
        <v>93</v>
      </c>
      <c r="I9" s="11" t="s">
        <v>94</v>
      </c>
      <c r="J9" s="11" t="s">
        <v>49</v>
      </c>
      <c r="K9" s="11" t="s">
        <v>95</v>
      </c>
      <c r="L9" s="11" t="s">
        <v>96</v>
      </c>
      <c r="M9" s="9" t="s">
        <v>43</v>
      </c>
    </row>
    <row r="10" customFormat="false" ht="21.75" hidden="false" customHeight="true" outlineLevel="0" collapsed="false">
      <c r="A10" s="7" t="s">
        <v>97</v>
      </c>
      <c r="B10" s="8" t="s">
        <v>32</v>
      </c>
      <c r="C10" s="8" t="s">
        <v>83</v>
      </c>
      <c r="D10" s="8" t="s">
        <v>98</v>
      </c>
      <c r="E10" s="8" t="s">
        <v>35</v>
      </c>
      <c r="F10" s="8" t="s">
        <v>36</v>
      </c>
      <c r="G10" s="8" t="s">
        <v>99</v>
      </c>
      <c r="H10" s="8" t="s">
        <v>100</v>
      </c>
      <c r="I10" s="8" t="s">
        <v>101</v>
      </c>
      <c r="J10" s="8" t="s">
        <v>49</v>
      </c>
      <c r="K10" s="8" t="s">
        <v>102</v>
      </c>
      <c r="L10" s="8" t="s">
        <v>103</v>
      </c>
      <c r="M10" s="9" t="s">
        <v>43</v>
      </c>
    </row>
    <row r="11" customFormat="false" ht="21.75" hidden="false" customHeight="true" outlineLevel="0" collapsed="false">
      <c r="A11" s="10" t="s">
        <v>104</v>
      </c>
      <c r="B11" s="11" t="s">
        <v>32</v>
      </c>
      <c r="C11" s="11" t="s">
        <v>105</v>
      </c>
      <c r="D11" s="11" t="s">
        <v>106</v>
      </c>
      <c r="E11" s="11" t="s">
        <v>107</v>
      </c>
      <c r="F11" s="11" t="s">
        <v>36</v>
      </c>
      <c r="G11" s="11" t="s">
        <v>108</v>
      </c>
      <c r="H11" s="11" t="s">
        <v>109</v>
      </c>
      <c r="I11" s="11" t="s">
        <v>110</v>
      </c>
      <c r="J11" s="11" t="s">
        <v>49</v>
      </c>
      <c r="K11" s="11" t="s">
        <v>111</v>
      </c>
      <c r="L11" s="11" t="s">
        <v>112</v>
      </c>
      <c r="M11" s="9" t="s">
        <v>43</v>
      </c>
    </row>
    <row r="12" customFormat="false" ht="21.75" hidden="false" customHeight="true" outlineLevel="0" collapsed="false">
      <c r="A12" s="7" t="s">
        <v>113</v>
      </c>
      <c r="B12" s="8" t="s">
        <v>32</v>
      </c>
      <c r="C12" s="8" t="s">
        <v>105</v>
      </c>
      <c r="D12" s="8" t="s">
        <v>114</v>
      </c>
      <c r="E12" s="8" t="s">
        <v>107</v>
      </c>
      <c r="F12" s="8" t="s">
        <v>36</v>
      </c>
      <c r="G12" s="8" t="s">
        <v>115</v>
      </c>
      <c r="H12" s="8" t="s">
        <v>116</v>
      </c>
      <c r="I12" s="8" t="s">
        <v>110</v>
      </c>
      <c r="J12" s="8" t="s">
        <v>49</v>
      </c>
      <c r="K12" s="8" t="s">
        <v>117</v>
      </c>
      <c r="L12" s="8" t="s">
        <v>118</v>
      </c>
      <c r="M12" s="12" t="s">
        <v>59</v>
      </c>
    </row>
    <row r="13" customFormat="false" ht="21.75" hidden="false" customHeight="true" outlineLevel="0" collapsed="false">
      <c r="A13" s="10" t="s">
        <v>119</v>
      </c>
      <c r="B13" s="11" t="s">
        <v>32</v>
      </c>
      <c r="C13" s="11" t="s">
        <v>105</v>
      </c>
      <c r="D13" s="11" t="s">
        <v>120</v>
      </c>
      <c r="E13" s="11" t="s">
        <v>107</v>
      </c>
      <c r="F13" s="11" t="s">
        <v>36</v>
      </c>
      <c r="G13" s="11" t="s">
        <v>121</v>
      </c>
      <c r="H13" s="11" t="s">
        <v>122</v>
      </c>
      <c r="I13" s="11" t="s">
        <v>123</v>
      </c>
      <c r="J13" s="11" t="s">
        <v>49</v>
      </c>
      <c r="K13" s="11" t="s">
        <v>124</v>
      </c>
      <c r="L13" s="11" t="s">
        <v>125</v>
      </c>
      <c r="M13" s="13" t="s">
        <v>126</v>
      </c>
    </row>
    <row r="14" customFormat="false" ht="21.75" hidden="false" customHeight="true" outlineLevel="0" collapsed="false">
      <c r="A14" s="7" t="s">
        <v>127</v>
      </c>
      <c r="B14" s="8" t="s">
        <v>32</v>
      </c>
      <c r="C14" s="8" t="s">
        <v>61</v>
      </c>
      <c r="D14" s="8" t="s">
        <v>128</v>
      </c>
      <c r="E14" s="8" t="s">
        <v>35</v>
      </c>
      <c r="F14" s="8" t="s">
        <v>36</v>
      </c>
      <c r="G14" s="8" t="s">
        <v>129</v>
      </c>
      <c r="H14" s="8" t="s">
        <v>130</v>
      </c>
      <c r="I14" s="8" t="s">
        <v>131</v>
      </c>
      <c r="J14" s="8" t="s">
        <v>49</v>
      </c>
      <c r="K14" s="8" t="s">
        <v>132</v>
      </c>
      <c r="L14" s="8" t="s">
        <v>133</v>
      </c>
      <c r="M14" s="9" t="s">
        <v>43</v>
      </c>
    </row>
    <row r="15" customFormat="false" ht="21.75" hidden="false" customHeight="true" outlineLevel="0" collapsed="false">
      <c r="A15" s="10" t="s">
        <v>134</v>
      </c>
      <c r="B15" s="11" t="s">
        <v>32</v>
      </c>
      <c r="C15" s="11" t="s">
        <v>61</v>
      </c>
      <c r="D15" s="11" t="s">
        <v>135</v>
      </c>
      <c r="E15" s="11" t="s">
        <v>35</v>
      </c>
      <c r="F15" s="11" t="s">
        <v>36</v>
      </c>
      <c r="G15" s="11" t="s">
        <v>136</v>
      </c>
      <c r="H15" s="11" t="s">
        <v>137</v>
      </c>
      <c r="I15" s="11" t="s">
        <v>138</v>
      </c>
      <c r="J15" s="11" t="s">
        <v>49</v>
      </c>
      <c r="K15" s="11" t="s">
        <v>139</v>
      </c>
      <c r="L15" s="11" t="s">
        <v>140</v>
      </c>
      <c r="M15" s="12" t="s">
        <v>59</v>
      </c>
    </row>
    <row r="16" customFormat="false" ht="21.75" hidden="false" customHeight="true" outlineLevel="0" collapsed="false">
      <c r="A16" s="7" t="s">
        <v>141</v>
      </c>
      <c r="B16" s="8" t="s">
        <v>32</v>
      </c>
      <c r="C16" s="8" t="s">
        <v>83</v>
      </c>
      <c r="D16" s="8" t="s">
        <v>142</v>
      </c>
      <c r="E16" s="8" t="s">
        <v>35</v>
      </c>
      <c r="F16" s="8" t="s">
        <v>36</v>
      </c>
      <c r="G16" s="8" t="s">
        <v>143</v>
      </c>
      <c r="H16" s="8" t="s">
        <v>144</v>
      </c>
      <c r="I16" s="8" t="s">
        <v>131</v>
      </c>
      <c r="J16" s="8" t="s">
        <v>49</v>
      </c>
      <c r="K16" s="8" t="s">
        <v>145</v>
      </c>
      <c r="L16" s="8" t="s">
        <v>146</v>
      </c>
      <c r="M16" s="12" t="s">
        <v>59</v>
      </c>
    </row>
    <row r="17" customFormat="false" ht="21.75" hidden="false" customHeight="true" outlineLevel="0" collapsed="false">
      <c r="A17" s="10" t="s">
        <v>147</v>
      </c>
      <c r="B17" s="11" t="s">
        <v>32</v>
      </c>
      <c r="C17" s="11" t="s">
        <v>148</v>
      </c>
      <c r="D17" s="11" t="s">
        <v>149</v>
      </c>
      <c r="E17" s="11" t="s">
        <v>35</v>
      </c>
      <c r="F17" s="11" t="s">
        <v>150</v>
      </c>
      <c r="G17" s="11" t="s">
        <v>151</v>
      </c>
      <c r="H17" s="11" t="s">
        <v>152</v>
      </c>
      <c r="I17" s="11" t="s">
        <v>153</v>
      </c>
      <c r="J17" s="11" t="s">
        <v>49</v>
      </c>
      <c r="K17" s="11" t="s">
        <v>154</v>
      </c>
      <c r="L17" s="11" t="s">
        <v>155</v>
      </c>
      <c r="M17" s="9" t="s">
        <v>43</v>
      </c>
    </row>
    <row r="18" customFormat="false" ht="21.75" hidden="false" customHeight="true" outlineLevel="0" collapsed="false">
      <c r="A18" s="7" t="s">
        <v>156</v>
      </c>
      <c r="B18" s="8" t="s">
        <v>32</v>
      </c>
      <c r="C18" s="8" t="s">
        <v>148</v>
      </c>
      <c r="D18" s="8" t="s">
        <v>157</v>
      </c>
      <c r="E18" s="8" t="s">
        <v>35</v>
      </c>
      <c r="F18" s="8" t="s">
        <v>158</v>
      </c>
      <c r="G18" s="8" t="s">
        <v>159</v>
      </c>
      <c r="H18" s="8" t="s">
        <v>160</v>
      </c>
      <c r="I18" s="8" t="s">
        <v>161</v>
      </c>
      <c r="J18" s="8" t="s">
        <v>162</v>
      </c>
      <c r="K18" s="8" t="s">
        <v>163</v>
      </c>
      <c r="L18" s="8" t="s">
        <v>164</v>
      </c>
      <c r="M18" s="13" t="s">
        <v>126</v>
      </c>
    </row>
    <row r="19" customFormat="false" ht="21.75" hidden="false" customHeight="true" outlineLevel="0" collapsed="false">
      <c r="A19" s="10" t="s">
        <v>165</v>
      </c>
      <c r="B19" s="11" t="s">
        <v>32</v>
      </c>
      <c r="C19" s="11" t="s">
        <v>148</v>
      </c>
      <c r="D19" s="11" t="s">
        <v>166</v>
      </c>
      <c r="E19" s="11" t="s">
        <v>35</v>
      </c>
      <c r="F19" s="11" t="s">
        <v>150</v>
      </c>
      <c r="G19" s="11" t="s">
        <v>167</v>
      </c>
      <c r="H19" s="11" t="s">
        <v>168</v>
      </c>
      <c r="I19" s="11" t="s">
        <v>169</v>
      </c>
      <c r="J19" s="11" t="s">
        <v>49</v>
      </c>
      <c r="K19" s="11" t="s">
        <v>170</v>
      </c>
      <c r="L19" s="11" t="s">
        <v>171</v>
      </c>
      <c r="M19" s="12" t="s">
        <v>59</v>
      </c>
    </row>
    <row r="20" customFormat="false" ht="21.75" hidden="false" customHeight="true" outlineLevel="0" collapsed="false">
      <c r="A20" s="7" t="s">
        <v>172</v>
      </c>
      <c r="B20" s="8" t="s">
        <v>32</v>
      </c>
      <c r="C20" s="8" t="s">
        <v>148</v>
      </c>
      <c r="D20" s="8" t="s">
        <v>173</v>
      </c>
      <c r="E20" s="8" t="s">
        <v>35</v>
      </c>
      <c r="F20" s="8" t="s">
        <v>150</v>
      </c>
      <c r="G20" s="8" t="s">
        <v>174</v>
      </c>
      <c r="H20" s="8" t="s">
        <v>175</v>
      </c>
      <c r="I20" s="8" t="s">
        <v>176</v>
      </c>
      <c r="J20" s="8" t="s">
        <v>162</v>
      </c>
      <c r="K20" s="8" t="s">
        <v>177</v>
      </c>
      <c r="L20" s="8" t="s">
        <v>178</v>
      </c>
      <c r="M20" s="12" t="s">
        <v>59</v>
      </c>
    </row>
    <row r="21" customFormat="false" ht="21.75" hidden="false" customHeight="true" outlineLevel="0" collapsed="false">
      <c r="A21" s="10" t="s">
        <v>179</v>
      </c>
      <c r="B21" s="11" t="s">
        <v>32</v>
      </c>
      <c r="C21" s="11" t="s">
        <v>83</v>
      </c>
      <c r="D21" s="11" t="s">
        <v>180</v>
      </c>
      <c r="E21" s="11" t="s">
        <v>35</v>
      </c>
      <c r="F21" s="11" t="s">
        <v>150</v>
      </c>
      <c r="G21" s="11" t="s">
        <v>181</v>
      </c>
      <c r="H21" s="11" t="s">
        <v>182</v>
      </c>
      <c r="I21" s="11" t="s">
        <v>183</v>
      </c>
      <c r="J21" s="11" t="s">
        <v>162</v>
      </c>
      <c r="K21" s="11" t="s">
        <v>184</v>
      </c>
      <c r="L21" s="11" t="s">
        <v>185</v>
      </c>
      <c r="M21" s="9" t="s">
        <v>43</v>
      </c>
    </row>
    <row r="22" customFormat="false" ht="21.75" hidden="false" customHeight="true" outlineLevel="0" collapsed="false">
      <c r="A22" s="7" t="s">
        <v>186</v>
      </c>
      <c r="B22" s="8" t="s">
        <v>32</v>
      </c>
      <c r="C22" s="8" t="s">
        <v>187</v>
      </c>
      <c r="D22" s="8" t="s">
        <v>188</v>
      </c>
      <c r="E22" s="8" t="s">
        <v>35</v>
      </c>
      <c r="F22" s="8" t="s">
        <v>189</v>
      </c>
      <c r="G22" s="8" t="s">
        <v>190</v>
      </c>
      <c r="H22" s="8" t="s">
        <v>191</v>
      </c>
      <c r="I22" s="8" t="s">
        <v>192</v>
      </c>
      <c r="J22" s="8" t="s">
        <v>49</v>
      </c>
      <c r="K22" s="8" t="s">
        <v>193</v>
      </c>
      <c r="L22" s="8" t="s">
        <v>194</v>
      </c>
      <c r="M22" s="12" t="s">
        <v>59</v>
      </c>
    </row>
    <row r="23" customFormat="false" ht="21.75" hidden="false" customHeight="true" outlineLevel="0" collapsed="false">
      <c r="A23" s="10" t="s">
        <v>195</v>
      </c>
      <c r="B23" s="11" t="s">
        <v>32</v>
      </c>
      <c r="C23" s="11" t="s">
        <v>187</v>
      </c>
      <c r="D23" s="11" t="s">
        <v>196</v>
      </c>
      <c r="E23" s="11" t="s">
        <v>35</v>
      </c>
      <c r="F23" s="11" t="s">
        <v>189</v>
      </c>
      <c r="G23" s="11" t="s">
        <v>197</v>
      </c>
      <c r="H23" s="11" t="s">
        <v>198</v>
      </c>
      <c r="I23" s="11" t="s">
        <v>199</v>
      </c>
      <c r="J23" s="11" t="s">
        <v>49</v>
      </c>
      <c r="K23" s="11" t="s">
        <v>200</v>
      </c>
      <c r="L23" s="11" t="s">
        <v>201</v>
      </c>
      <c r="M23" s="12" t="s">
        <v>59</v>
      </c>
    </row>
    <row r="24" customFormat="false" ht="21.75" hidden="false" customHeight="true" outlineLevel="0" collapsed="false">
      <c r="A24" s="7" t="s">
        <v>202</v>
      </c>
      <c r="B24" s="8" t="s">
        <v>32</v>
      </c>
      <c r="C24" s="8" t="s">
        <v>203</v>
      </c>
      <c r="D24" s="8" t="s">
        <v>204</v>
      </c>
      <c r="E24" s="8" t="s">
        <v>205</v>
      </c>
      <c r="F24" s="8" t="s">
        <v>206</v>
      </c>
      <c r="G24" s="8" t="s">
        <v>207</v>
      </c>
      <c r="H24" s="8" t="s">
        <v>208</v>
      </c>
      <c r="I24" s="8" t="s">
        <v>209</v>
      </c>
      <c r="J24" s="8" t="s">
        <v>162</v>
      </c>
      <c r="K24" s="8" t="s">
        <v>210</v>
      </c>
      <c r="L24" s="8" t="s">
        <v>211</v>
      </c>
      <c r="M24" s="13" t="s">
        <v>126</v>
      </c>
    </row>
    <row r="25" customFormat="false" ht="21.75" hidden="false" customHeight="true" outlineLevel="0" collapsed="false">
      <c r="A25" s="10" t="s">
        <v>212</v>
      </c>
      <c r="B25" s="11" t="s">
        <v>32</v>
      </c>
      <c r="C25" s="11" t="s">
        <v>203</v>
      </c>
      <c r="D25" s="11" t="s">
        <v>213</v>
      </c>
      <c r="E25" s="11" t="s">
        <v>35</v>
      </c>
      <c r="F25" s="11" t="s">
        <v>150</v>
      </c>
      <c r="G25" s="11" t="s">
        <v>214</v>
      </c>
      <c r="H25" s="11" t="s">
        <v>215</v>
      </c>
      <c r="I25" s="11" t="s">
        <v>216</v>
      </c>
      <c r="J25" s="11" t="s">
        <v>217</v>
      </c>
      <c r="K25" s="11" t="s">
        <v>218</v>
      </c>
      <c r="L25" s="11" t="s">
        <v>219</v>
      </c>
      <c r="M25" s="9" t="s">
        <v>43</v>
      </c>
    </row>
    <row r="26" customFormat="false" ht="21.75" hidden="false" customHeight="true" outlineLevel="0" collapsed="false">
      <c r="A26" s="7" t="s">
        <v>220</v>
      </c>
      <c r="B26" s="8" t="s">
        <v>32</v>
      </c>
      <c r="C26" s="8" t="s">
        <v>203</v>
      </c>
      <c r="D26" s="8" t="s">
        <v>221</v>
      </c>
      <c r="E26" s="8" t="s">
        <v>35</v>
      </c>
      <c r="F26" s="8" t="s">
        <v>36</v>
      </c>
      <c r="G26" s="8" t="s">
        <v>222</v>
      </c>
      <c r="H26" s="8" t="s">
        <v>223</v>
      </c>
      <c r="I26" s="8" t="s">
        <v>224</v>
      </c>
      <c r="J26" s="8" t="s">
        <v>225</v>
      </c>
      <c r="K26" s="8" t="s">
        <v>226</v>
      </c>
      <c r="L26" s="8" t="s">
        <v>227</v>
      </c>
      <c r="M26" s="9" t="s">
        <v>43</v>
      </c>
    </row>
    <row r="27" customFormat="false" ht="21.75" hidden="false" customHeight="true" outlineLevel="0" collapsed="false">
      <c r="A27" s="10" t="s">
        <v>228</v>
      </c>
      <c r="B27" s="11" t="s">
        <v>32</v>
      </c>
      <c r="C27" s="11" t="s">
        <v>158</v>
      </c>
      <c r="D27" s="11" t="s">
        <v>229</v>
      </c>
      <c r="E27" s="11" t="s">
        <v>35</v>
      </c>
      <c r="F27" s="11" t="s">
        <v>158</v>
      </c>
      <c r="G27" s="11" t="s">
        <v>230</v>
      </c>
      <c r="H27" s="11" t="s">
        <v>231</v>
      </c>
      <c r="I27" s="11" t="s">
        <v>232</v>
      </c>
      <c r="J27" s="11" t="s">
        <v>49</v>
      </c>
      <c r="K27" s="11" t="s">
        <v>233</v>
      </c>
      <c r="L27" s="11" t="s">
        <v>234</v>
      </c>
      <c r="M27" s="9" t="s">
        <v>43</v>
      </c>
    </row>
    <row r="28" customFormat="false" ht="21.75" hidden="false" customHeight="true" outlineLevel="0" collapsed="false">
      <c r="A28" s="7" t="s">
        <v>235</v>
      </c>
      <c r="B28" s="8" t="s">
        <v>32</v>
      </c>
      <c r="C28" s="8" t="s">
        <v>158</v>
      </c>
      <c r="D28" s="8" t="s">
        <v>236</v>
      </c>
      <c r="E28" s="8" t="s">
        <v>35</v>
      </c>
      <c r="F28" s="8" t="s">
        <v>158</v>
      </c>
      <c r="G28" s="8" t="s">
        <v>237</v>
      </c>
      <c r="H28" s="8" t="s">
        <v>238</v>
      </c>
      <c r="I28" s="8" t="s">
        <v>239</v>
      </c>
      <c r="J28" s="8" t="s">
        <v>162</v>
      </c>
      <c r="K28" s="8" t="s">
        <v>240</v>
      </c>
      <c r="L28" s="8" t="s">
        <v>241</v>
      </c>
      <c r="M28" s="9" t="s">
        <v>43</v>
      </c>
    </row>
    <row r="29" customFormat="false" ht="21.75" hidden="false" customHeight="true" outlineLevel="0" collapsed="false">
      <c r="A29" s="10" t="s">
        <v>242</v>
      </c>
      <c r="B29" s="11" t="s">
        <v>32</v>
      </c>
      <c r="C29" s="11" t="s">
        <v>158</v>
      </c>
      <c r="D29" s="11" t="s">
        <v>243</v>
      </c>
      <c r="E29" s="11" t="s">
        <v>35</v>
      </c>
      <c r="F29" s="11" t="s">
        <v>158</v>
      </c>
      <c r="G29" s="11" t="s">
        <v>244</v>
      </c>
      <c r="H29" s="11" t="s">
        <v>245</v>
      </c>
      <c r="I29" s="11" t="s">
        <v>246</v>
      </c>
      <c r="J29" s="11" t="s">
        <v>162</v>
      </c>
      <c r="K29" s="11" t="s">
        <v>247</v>
      </c>
      <c r="L29" s="11" t="s">
        <v>248</v>
      </c>
      <c r="M29" s="9" t="s">
        <v>43</v>
      </c>
    </row>
    <row r="30" customFormat="false" ht="15" hidden="false" customHeight="true" outlineLevel="0" collapsed="false">
      <c r="A30" s="7" t="s">
        <v>249</v>
      </c>
      <c r="B30" s="8" t="s">
        <v>250</v>
      </c>
      <c r="C30" s="8" t="s">
        <v>251</v>
      </c>
      <c r="D30" s="8" t="s">
        <v>252</v>
      </c>
      <c r="E30" s="8" t="s">
        <v>35</v>
      </c>
      <c r="F30" s="8" t="s">
        <v>158</v>
      </c>
      <c r="G30" s="8" t="s">
        <v>253</v>
      </c>
      <c r="H30" s="8" t="s">
        <v>254</v>
      </c>
      <c r="I30" s="8" t="s">
        <v>255</v>
      </c>
      <c r="J30" s="8" t="s">
        <v>49</v>
      </c>
      <c r="K30" s="8" t="s">
        <v>256</v>
      </c>
      <c r="L30" s="8" t="s">
        <v>257</v>
      </c>
      <c r="M30" s="9" t="s">
        <v>43</v>
      </c>
    </row>
    <row r="31" customFormat="false" ht="32.25" hidden="false" customHeight="true" outlineLevel="0" collapsed="false">
      <c r="A31" s="10" t="s">
        <v>258</v>
      </c>
      <c r="B31" s="11" t="s">
        <v>250</v>
      </c>
      <c r="C31" s="11" t="s">
        <v>251</v>
      </c>
      <c r="D31" s="11" t="s">
        <v>259</v>
      </c>
      <c r="E31" s="11" t="s">
        <v>35</v>
      </c>
      <c r="F31" s="11" t="s">
        <v>158</v>
      </c>
      <c r="G31" s="11" t="s">
        <v>260</v>
      </c>
      <c r="H31" s="11" t="s">
        <v>261</v>
      </c>
      <c r="I31" s="11" t="s">
        <v>262</v>
      </c>
      <c r="J31" s="11" t="s">
        <v>49</v>
      </c>
      <c r="K31" s="11" t="s">
        <v>263</v>
      </c>
      <c r="L31" s="11" t="s">
        <v>264</v>
      </c>
      <c r="M31" s="9" t="s">
        <v>43</v>
      </c>
    </row>
    <row r="32" customFormat="false" ht="21.75" hidden="false" customHeight="true" outlineLevel="0" collapsed="false">
      <c r="A32" s="7" t="s">
        <v>265</v>
      </c>
      <c r="B32" s="8" t="s">
        <v>250</v>
      </c>
      <c r="C32" s="8" t="s">
        <v>266</v>
      </c>
      <c r="D32" s="8" t="s">
        <v>267</v>
      </c>
      <c r="E32" s="8" t="s">
        <v>35</v>
      </c>
      <c r="F32" s="8" t="s">
        <v>150</v>
      </c>
      <c r="G32" s="8" t="s">
        <v>268</v>
      </c>
      <c r="H32" s="8" t="s">
        <v>269</v>
      </c>
      <c r="I32" s="8" t="s">
        <v>270</v>
      </c>
      <c r="J32" s="8" t="s">
        <v>49</v>
      </c>
      <c r="K32" s="8" t="s">
        <v>271</v>
      </c>
      <c r="L32" s="8" t="s">
        <v>272</v>
      </c>
      <c r="M32" s="9" t="s">
        <v>43</v>
      </c>
    </row>
    <row r="33" customFormat="false" ht="21.75" hidden="false" customHeight="true" outlineLevel="0" collapsed="false">
      <c r="A33" s="10" t="s">
        <v>273</v>
      </c>
      <c r="B33" s="11" t="s">
        <v>250</v>
      </c>
      <c r="C33" s="11" t="s">
        <v>266</v>
      </c>
      <c r="D33" s="11" t="s">
        <v>274</v>
      </c>
      <c r="E33" s="11" t="s">
        <v>35</v>
      </c>
      <c r="F33" s="11" t="s">
        <v>275</v>
      </c>
      <c r="G33" s="11" t="s">
        <v>276</v>
      </c>
      <c r="H33" s="11" t="s">
        <v>277</v>
      </c>
      <c r="I33" s="11" t="s">
        <v>278</v>
      </c>
      <c r="J33" s="11" t="s">
        <v>49</v>
      </c>
      <c r="K33" s="11" t="s">
        <v>279</v>
      </c>
      <c r="L33" s="11" t="s">
        <v>280</v>
      </c>
      <c r="M33" s="9" t="s">
        <v>43</v>
      </c>
    </row>
    <row r="34" customFormat="false" ht="21.75" hidden="false" customHeight="true" outlineLevel="0" collapsed="false">
      <c r="A34" s="7" t="s">
        <v>281</v>
      </c>
      <c r="B34" s="8" t="s">
        <v>250</v>
      </c>
      <c r="C34" s="8" t="s">
        <v>266</v>
      </c>
      <c r="D34" s="8" t="s">
        <v>282</v>
      </c>
      <c r="E34" s="8" t="s">
        <v>35</v>
      </c>
      <c r="F34" s="8" t="s">
        <v>158</v>
      </c>
      <c r="G34" s="8" t="s">
        <v>283</v>
      </c>
      <c r="H34" s="8" t="s">
        <v>284</v>
      </c>
      <c r="I34" s="8" t="s">
        <v>285</v>
      </c>
      <c r="J34" s="8" t="s">
        <v>49</v>
      </c>
      <c r="K34" s="8" t="s">
        <v>286</v>
      </c>
      <c r="L34" s="8" t="s">
        <v>287</v>
      </c>
      <c r="M34" s="12" t="s">
        <v>59</v>
      </c>
    </row>
    <row r="35" customFormat="false" ht="21.75" hidden="false" customHeight="true" outlineLevel="0" collapsed="false">
      <c r="A35" s="10" t="s">
        <v>288</v>
      </c>
      <c r="B35" s="11" t="s">
        <v>250</v>
      </c>
      <c r="C35" s="11" t="s">
        <v>266</v>
      </c>
      <c r="D35" s="11" t="s">
        <v>289</v>
      </c>
      <c r="E35" s="11" t="s">
        <v>35</v>
      </c>
      <c r="F35" s="11" t="s">
        <v>158</v>
      </c>
      <c r="G35" s="11" t="s">
        <v>290</v>
      </c>
      <c r="H35" s="11" t="s">
        <v>291</v>
      </c>
      <c r="I35" s="11" t="s">
        <v>285</v>
      </c>
      <c r="J35" s="11" t="s">
        <v>49</v>
      </c>
      <c r="K35" s="11" t="s">
        <v>292</v>
      </c>
      <c r="L35" s="11" t="s">
        <v>293</v>
      </c>
      <c r="M35" s="9" t="s">
        <v>43</v>
      </c>
    </row>
    <row r="36" customFormat="false" ht="21.75" hidden="false" customHeight="true" outlineLevel="0" collapsed="false">
      <c r="A36" s="7" t="s">
        <v>294</v>
      </c>
      <c r="B36" s="8" t="s">
        <v>250</v>
      </c>
      <c r="C36" s="8" t="s">
        <v>295</v>
      </c>
      <c r="D36" s="8" t="s">
        <v>296</v>
      </c>
      <c r="E36" s="8" t="s">
        <v>35</v>
      </c>
      <c r="F36" s="8" t="s">
        <v>297</v>
      </c>
      <c r="G36" s="8" t="s">
        <v>298</v>
      </c>
      <c r="H36" s="8" t="s">
        <v>299</v>
      </c>
      <c r="I36" s="8" t="s">
        <v>300</v>
      </c>
      <c r="J36" s="8" t="s">
        <v>49</v>
      </c>
      <c r="K36" s="8" t="s">
        <v>301</v>
      </c>
      <c r="L36" s="8" t="s">
        <v>302</v>
      </c>
      <c r="M36" s="13" t="s">
        <v>126</v>
      </c>
    </row>
    <row r="37" customFormat="false" ht="21.75" hidden="false" customHeight="true" outlineLevel="0" collapsed="false">
      <c r="A37" s="10" t="s">
        <v>303</v>
      </c>
      <c r="B37" s="11" t="s">
        <v>250</v>
      </c>
      <c r="C37" s="11" t="s">
        <v>304</v>
      </c>
      <c r="D37" s="11" t="s">
        <v>305</v>
      </c>
      <c r="E37" s="11" t="s">
        <v>35</v>
      </c>
      <c r="F37" s="11" t="s">
        <v>158</v>
      </c>
      <c r="G37" s="11" t="s">
        <v>306</v>
      </c>
      <c r="H37" s="11" t="s">
        <v>307</v>
      </c>
      <c r="I37" s="11" t="s">
        <v>308</v>
      </c>
      <c r="J37" s="11" t="s">
        <v>49</v>
      </c>
      <c r="K37" s="11" t="s">
        <v>309</v>
      </c>
      <c r="L37" s="11" t="s">
        <v>310</v>
      </c>
      <c r="M37" s="9" t="s">
        <v>43</v>
      </c>
    </row>
    <row r="38" customFormat="false" ht="21.75" hidden="false" customHeight="true" outlineLevel="0" collapsed="false">
      <c r="A38" s="7" t="s">
        <v>311</v>
      </c>
      <c r="B38" s="8" t="s">
        <v>250</v>
      </c>
      <c r="C38" s="8" t="s">
        <v>304</v>
      </c>
      <c r="D38" s="8" t="s">
        <v>312</v>
      </c>
      <c r="E38" s="8" t="s">
        <v>35</v>
      </c>
      <c r="F38" s="8" t="s">
        <v>158</v>
      </c>
      <c r="G38" s="8" t="s">
        <v>313</v>
      </c>
      <c r="H38" s="8" t="s">
        <v>314</v>
      </c>
      <c r="I38" s="8" t="s">
        <v>308</v>
      </c>
      <c r="J38" s="8" t="s">
        <v>49</v>
      </c>
      <c r="K38" s="8" t="s">
        <v>315</v>
      </c>
      <c r="L38" s="8" t="s">
        <v>316</v>
      </c>
      <c r="M38" s="12" t="s">
        <v>59</v>
      </c>
    </row>
    <row r="39" customFormat="false" ht="21.75" hidden="false" customHeight="true" outlineLevel="0" collapsed="false">
      <c r="A39" s="10" t="s">
        <v>317</v>
      </c>
      <c r="B39" s="11" t="s">
        <v>250</v>
      </c>
      <c r="C39" s="11" t="s">
        <v>318</v>
      </c>
      <c r="D39" s="11" t="s">
        <v>319</v>
      </c>
      <c r="E39" s="11" t="s">
        <v>35</v>
      </c>
      <c r="F39" s="11" t="s">
        <v>158</v>
      </c>
      <c r="G39" s="11" t="s">
        <v>320</v>
      </c>
      <c r="H39" s="11" t="s">
        <v>321</v>
      </c>
      <c r="I39" s="11" t="s">
        <v>322</v>
      </c>
      <c r="J39" s="11" t="s">
        <v>49</v>
      </c>
      <c r="K39" s="11" t="s">
        <v>323</v>
      </c>
      <c r="L39" s="11" t="s">
        <v>324</v>
      </c>
      <c r="M39" s="13" t="s">
        <v>126</v>
      </c>
    </row>
    <row r="40" customFormat="false" ht="21.75" hidden="false" customHeight="true" outlineLevel="0" collapsed="false">
      <c r="A40" s="7" t="s">
        <v>325</v>
      </c>
      <c r="B40" s="8" t="s">
        <v>250</v>
      </c>
      <c r="C40" s="8" t="s">
        <v>318</v>
      </c>
      <c r="D40" s="8" t="s">
        <v>326</v>
      </c>
      <c r="E40" s="8" t="s">
        <v>35</v>
      </c>
      <c r="F40" s="8" t="s">
        <v>150</v>
      </c>
      <c r="G40" s="8" t="s">
        <v>327</v>
      </c>
      <c r="H40" s="8" t="s">
        <v>328</v>
      </c>
      <c r="I40" s="8" t="s">
        <v>329</v>
      </c>
      <c r="J40" s="8" t="s">
        <v>162</v>
      </c>
      <c r="K40" s="8" t="s">
        <v>330</v>
      </c>
      <c r="L40" s="8" t="s">
        <v>331</v>
      </c>
      <c r="M40" s="12" t="s">
        <v>59</v>
      </c>
    </row>
    <row r="41" customFormat="false" ht="21.75" hidden="false" customHeight="true" outlineLevel="0" collapsed="false">
      <c r="A41" s="10" t="s">
        <v>332</v>
      </c>
      <c r="B41" s="11" t="s">
        <v>250</v>
      </c>
      <c r="C41" s="11" t="s">
        <v>333</v>
      </c>
      <c r="D41" s="11" t="s">
        <v>334</v>
      </c>
      <c r="E41" s="11" t="s">
        <v>35</v>
      </c>
      <c r="F41" s="11" t="s">
        <v>158</v>
      </c>
      <c r="G41" s="11" t="s">
        <v>335</v>
      </c>
      <c r="H41" s="11" t="s">
        <v>336</v>
      </c>
      <c r="I41" s="11" t="s">
        <v>337</v>
      </c>
      <c r="J41" s="11" t="s">
        <v>49</v>
      </c>
      <c r="K41" s="11" t="s">
        <v>338</v>
      </c>
      <c r="L41" s="11" t="s">
        <v>339</v>
      </c>
      <c r="M41" s="12" t="s">
        <v>59</v>
      </c>
    </row>
    <row r="42" customFormat="false" ht="21.75" hidden="false" customHeight="true" outlineLevel="0" collapsed="false">
      <c r="A42" s="7" t="s">
        <v>340</v>
      </c>
      <c r="B42" s="8" t="s">
        <v>250</v>
      </c>
      <c r="C42" s="8" t="s">
        <v>333</v>
      </c>
      <c r="D42" s="8" t="s">
        <v>341</v>
      </c>
      <c r="E42" s="8" t="s">
        <v>35</v>
      </c>
      <c r="F42" s="8" t="s">
        <v>158</v>
      </c>
      <c r="G42" s="8" t="s">
        <v>342</v>
      </c>
      <c r="H42" s="8" t="s">
        <v>343</v>
      </c>
      <c r="I42" s="8" t="s">
        <v>337</v>
      </c>
      <c r="J42" s="8" t="s">
        <v>49</v>
      </c>
      <c r="K42" s="8" t="s">
        <v>344</v>
      </c>
      <c r="L42" s="8" t="s">
        <v>345</v>
      </c>
      <c r="M42" s="9" t="s">
        <v>43</v>
      </c>
    </row>
    <row r="43" customFormat="false" ht="21.75" hidden="false" customHeight="true" outlineLevel="0" collapsed="false">
      <c r="A43" s="10" t="s">
        <v>346</v>
      </c>
      <c r="B43" s="11" t="s">
        <v>250</v>
      </c>
      <c r="C43" s="11" t="s">
        <v>347</v>
      </c>
      <c r="D43" s="11" t="s">
        <v>348</v>
      </c>
      <c r="E43" s="11" t="s">
        <v>35</v>
      </c>
      <c r="F43" s="11" t="s">
        <v>158</v>
      </c>
      <c r="G43" s="11" t="s">
        <v>349</v>
      </c>
      <c r="H43" s="11" t="s">
        <v>350</v>
      </c>
      <c r="I43" s="11" t="s">
        <v>351</v>
      </c>
      <c r="J43" s="11" t="s">
        <v>162</v>
      </c>
      <c r="K43" s="11" t="s">
        <v>352</v>
      </c>
      <c r="L43" s="11" t="s">
        <v>353</v>
      </c>
      <c r="M43" s="12" t="s">
        <v>59</v>
      </c>
    </row>
    <row r="44" customFormat="false" ht="21.75" hidden="false" customHeight="true" outlineLevel="0" collapsed="false">
      <c r="A44" s="7" t="s">
        <v>354</v>
      </c>
      <c r="B44" s="8" t="s">
        <v>250</v>
      </c>
      <c r="C44" s="8" t="s">
        <v>347</v>
      </c>
      <c r="D44" s="8" t="s">
        <v>355</v>
      </c>
      <c r="E44" s="8" t="s">
        <v>35</v>
      </c>
      <c r="F44" s="8" t="s">
        <v>36</v>
      </c>
      <c r="G44" s="8" t="s">
        <v>356</v>
      </c>
      <c r="H44" s="8" t="s">
        <v>357</v>
      </c>
      <c r="I44" s="8" t="s">
        <v>358</v>
      </c>
      <c r="J44" s="8" t="s">
        <v>162</v>
      </c>
      <c r="K44" s="8" t="s">
        <v>359</v>
      </c>
      <c r="L44" s="8" t="s">
        <v>360</v>
      </c>
      <c r="M44" s="12" t="s">
        <v>59</v>
      </c>
    </row>
    <row r="45" customFormat="false" ht="21.75" hidden="false" customHeight="true" outlineLevel="0" collapsed="false">
      <c r="A45" s="10" t="s">
        <v>361</v>
      </c>
      <c r="B45" s="11" t="s">
        <v>250</v>
      </c>
      <c r="C45" s="11" t="s">
        <v>362</v>
      </c>
      <c r="D45" s="11" t="s">
        <v>363</v>
      </c>
      <c r="E45" s="11" t="s">
        <v>364</v>
      </c>
      <c r="F45" s="11" t="s">
        <v>365</v>
      </c>
      <c r="G45" s="11" t="s">
        <v>366</v>
      </c>
      <c r="H45" s="11" t="s">
        <v>367</v>
      </c>
      <c r="I45" s="11" t="s">
        <v>368</v>
      </c>
      <c r="J45" s="11" t="s">
        <v>369</v>
      </c>
      <c r="K45" s="11" t="s">
        <v>370</v>
      </c>
      <c r="L45" s="11" t="s">
        <v>371</v>
      </c>
      <c r="M45" s="9" t="s">
        <v>43</v>
      </c>
    </row>
    <row r="46" customFormat="false" ht="21.75" hidden="false" customHeight="true" outlineLevel="0" collapsed="false">
      <c r="A46" s="7" t="s">
        <v>372</v>
      </c>
      <c r="B46" s="8" t="s">
        <v>250</v>
      </c>
      <c r="C46" s="8" t="s">
        <v>105</v>
      </c>
      <c r="D46" s="8" t="s">
        <v>373</v>
      </c>
      <c r="E46" s="8" t="s">
        <v>35</v>
      </c>
      <c r="F46" s="8" t="s">
        <v>36</v>
      </c>
      <c r="G46" s="8" t="s">
        <v>374</v>
      </c>
      <c r="H46" s="8" t="s">
        <v>375</v>
      </c>
      <c r="I46" s="8" t="s">
        <v>376</v>
      </c>
      <c r="J46" s="8" t="s">
        <v>377</v>
      </c>
      <c r="K46" s="8" t="s">
        <v>378</v>
      </c>
      <c r="L46" s="8" t="s">
        <v>379</v>
      </c>
      <c r="M46" s="12" t="s">
        <v>59</v>
      </c>
    </row>
    <row r="47" customFormat="false" ht="21.75" hidden="false" customHeight="true" outlineLevel="0" collapsed="false">
      <c r="A47" s="10" t="s">
        <v>380</v>
      </c>
      <c r="B47" s="11" t="s">
        <v>381</v>
      </c>
      <c r="C47" s="11" t="s">
        <v>105</v>
      </c>
      <c r="D47" s="11" t="s">
        <v>382</v>
      </c>
      <c r="E47" s="11" t="s">
        <v>107</v>
      </c>
      <c r="F47" s="11" t="s">
        <v>36</v>
      </c>
      <c r="G47" s="11" t="s">
        <v>383</v>
      </c>
      <c r="H47" s="11" t="s">
        <v>384</v>
      </c>
      <c r="I47" s="11" t="s">
        <v>385</v>
      </c>
      <c r="J47" s="11" t="s">
        <v>49</v>
      </c>
      <c r="K47" s="11" t="s">
        <v>386</v>
      </c>
      <c r="L47" s="11" t="s">
        <v>387</v>
      </c>
      <c r="M47" s="9" t="s">
        <v>43</v>
      </c>
    </row>
    <row r="48" customFormat="false" ht="21.75" hidden="false" customHeight="true" outlineLevel="0" collapsed="false">
      <c r="A48" s="7" t="s">
        <v>388</v>
      </c>
      <c r="B48" s="8" t="s">
        <v>381</v>
      </c>
      <c r="C48" s="8" t="s">
        <v>105</v>
      </c>
      <c r="D48" s="8" t="s">
        <v>389</v>
      </c>
      <c r="E48" s="8" t="s">
        <v>107</v>
      </c>
      <c r="F48" s="8" t="s">
        <v>36</v>
      </c>
      <c r="G48" s="8" t="s">
        <v>390</v>
      </c>
      <c r="H48" s="8" t="s">
        <v>391</v>
      </c>
      <c r="I48" s="8" t="s">
        <v>392</v>
      </c>
      <c r="J48" s="8" t="s">
        <v>49</v>
      </c>
      <c r="K48" s="8" t="s">
        <v>393</v>
      </c>
      <c r="L48" s="8" t="s">
        <v>394</v>
      </c>
      <c r="M48" s="12" t="s">
        <v>59</v>
      </c>
    </row>
    <row r="49" customFormat="false" ht="21.75" hidden="false" customHeight="true" outlineLevel="0" collapsed="false">
      <c r="A49" s="10" t="s">
        <v>395</v>
      </c>
      <c r="B49" s="11" t="s">
        <v>381</v>
      </c>
      <c r="C49" s="11" t="s">
        <v>105</v>
      </c>
      <c r="D49" s="11" t="s">
        <v>396</v>
      </c>
      <c r="E49" s="11" t="s">
        <v>107</v>
      </c>
      <c r="F49" s="11" t="s">
        <v>36</v>
      </c>
      <c r="G49" s="11" t="s">
        <v>397</v>
      </c>
      <c r="H49" s="11" t="s">
        <v>398</v>
      </c>
      <c r="I49" s="11" t="s">
        <v>399</v>
      </c>
      <c r="J49" s="11" t="s">
        <v>49</v>
      </c>
      <c r="K49" s="11" t="s">
        <v>400</v>
      </c>
      <c r="L49" s="11" t="s">
        <v>401</v>
      </c>
      <c r="M49" s="12" t="s">
        <v>59</v>
      </c>
    </row>
    <row r="50" customFormat="false" ht="21.75" hidden="false" customHeight="true" outlineLevel="0" collapsed="false">
      <c r="A50" s="7" t="s">
        <v>402</v>
      </c>
      <c r="B50" s="8" t="s">
        <v>381</v>
      </c>
      <c r="C50" s="8" t="s">
        <v>83</v>
      </c>
      <c r="D50" s="8" t="s">
        <v>403</v>
      </c>
      <c r="E50" s="8" t="s">
        <v>35</v>
      </c>
      <c r="F50" s="8" t="s">
        <v>36</v>
      </c>
      <c r="G50" s="8" t="s">
        <v>404</v>
      </c>
      <c r="H50" s="8" t="s">
        <v>405</v>
      </c>
      <c r="I50" s="8" t="s">
        <v>406</v>
      </c>
      <c r="J50" s="8" t="s">
        <v>49</v>
      </c>
      <c r="K50" s="8" t="s">
        <v>407</v>
      </c>
      <c r="L50" s="8" t="s">
        <v>408</v>
      </c>
      <c r="M50" s="9" t="s">
        <v>43</v>
      </c>
    </row>
    <row r="51" customFormat="false" ht="21.75" hidden="false" customHeight="true" outlineLevel="0" collapsed="false">
      <c r="A51" s="10" t="s">
        <v>409</v>
      </c>
      <c r="B51" s="11" t="s">
        <v>381</v>
      </c>
      <c r="C51" s="11" t="s">
        <v>410</v>
      </c>
      <c r="D51" s="11" t="s">
        <v>411</v>
      </c>
      <c r="E51" s="11" t="s">
        <v>35</v>
      </c>
      <c r="F51" s="11" t="s">
        <v>150</v>
      </c>
      <c r="G51" s="11" t="s">
        <v>412</v>
      </c>
      <c r="H51" s="11" t="s">
        <v>413</v>
      </c>
      <c r="I51" s="11" t="s">
        <v>414</v>
      </c>
      <c r="J51" s="11" t="s">
        <v>49</v>
      </c>
      <c r="K51" s="11" t="s">
        <v>415</v>
      </c>
      <c r="L51" s="11" t="s">
        <v>416</v>
      </c>
      <c r="M51" s="9" t="s">
        <v>43</v>
      </c>
    </row>
    <row r="52" customFormat="false" ht="21.75" hidden="false" customHeight="true" outlineLevel="0" collapsed="false">
      <c r="A52" s="7" t="s">
        <v>417</v>
      </c>
      <c r="B52" s="8" t="s">
        <v>381</v>
      </c>
      <c r="C52" s="8" t="s">
        <v>410</v>
      </c>
      <c r="D52" s="8" t="s">
        <v>418</v>
      </c>
      <c r="E52" s="8" t="s">
        <v>35</v>
      </c>
      <c r="F52" s="8" t="s">
        <v>150</v>
      </c>
      <c r="G52" s="8" t="s">
        <v>419</v>
      </c>
      <c r="H52" s="8" t="s">
        <v>420</v>
      </c>
      <c r="I52" s="8" t="s">
        <v>421</v>
      </c>
      <c r="J52" s="8" t="s">
        <v>49</v>
      </c>
      <c r="K52" s="8" t="s">
        <v>422</v>
      </c>
      <c r="L52" s="8" t="s">
        <v>423</v>
      </c>
      <c r="M52" s="9" t="s">
        <v>43</v>
      </c>
    </row>
    <row r="53" customFormat="false" ht="21.75" hidden="false" customHeight="true" outlineLevel="0" collapsed="false">
      <c r="A53" s="10" t="s">
        <v>424</v>
      </c>
      <c r="B53" s="11" t="s">
        <v>381</v>
      </c>
      <c r="C53" s="11" t="s">
        <v>410</v>
      </c>
      <c r="D53" s="11" t="s">
        <v>425</v>
      </c>
      <c r="E53" s="11" t="s">
        <v>35</v>
      </c>
      <c r="F53" s="11" t="s">
        <v>150</v>
      </c>
      <c r="G53" s="11" t="s">
        <v>426</v>
      </c>
      <c r="H53" s="11" t="s">
        <v>427</v>
      </c>
      <c r="I53" s="11" t="s">
        <v>428</v>
      </c>
      <c r="J53" s="11" t="s">
        <v>49</v>
      </c>
      <c r="K53" s="11" t="s">
        <v>429</v>
      </c>
      <c r="L53" s="11" t="s">
        <v>430</v>
      </c>
      <c r="M53" s="9" t="s">
        <v>43</v>
      </c>
    </row>
    <row r="54" customFormat="false" ht="15" hidden="false" customHeight="true" outlineLevel="0" collapsed="false">
      <c r="A54" s="7" t="s">
        <v>431</v>
      </c>
      <c r="B54" s="8" t="s">
        <v>381</v>
      </c>
      <c r="C54" s="8" t="s">
        <v>410</v>
      </c>
      <c r="D54" s="8" t="s">
        <v>432</v>
      </c>
      <c r="E54" s="8" t="s">
        <v>35</v>
      </c>
      <c r="F54" s="8" t="s">
        <v>158</v>
      </c>
      <c r="G54" s="8" t="s">
        <v>433</v>
      </c>
      <c r="H54" s="8" t="s">
        <v>434</v>
      </c>
      <c r="I54" s="8" t="s">
        <v>435</v>
      </c>
      <c r="J54" s="8" t="s">
        <v>162</v>
      </c>
      <c r="K54" s="8" t="s">
        <v>436</v>
      </c>
      <c r="L54" s="8" t="s">
        <v>437</v>
      </c>
      <c r="M54" s="12" t="s">
        <v>59</v>
      </c>
    </row>
    <row r="55" customFormat="false" ht="21.75" hidden="false" customHeight="true" outlineLevel="0" collapsed="false">
      <c r="A55" s="10" t="s">
        <v>438</v>
      </c>
      <c r="B55" s="11" t="s">
        <v>381</v>
      </c>
      <c r="C55" s="11" t="s">
        <v>439</v>
      </c>
      <c r="D55" s="11" t="s">
        <v>440</v>
      </c>
      <c r="E55" s="11" t="s">
        <v>107</v>
      </c>
      <c r="F55" s="11" t="s">
        <v>36</v>
      </c>
      <c r="G55" s="11" t="s">
        <v>441</v>
      </c>
      <c r="H55" s="11" t="s">
        <v>442</v>
      </c>
      <c r="I55" s="11" t="s">
        <v>443</v>
      </c>
      <c r="J55" s="11" t="s">
        <v>49</v>
      </c>
      <c r="K55" s="11" t="s">
        <v>444</v>
      </c>
      <c r="L55" s="11" t="s">
        <v>445</v>
      </c>
      <c r="M55" s="9" t="s">
        <v>43</v>
      </c>
    </row>
    <row r="56" customFormat="false" ht="21.75" hidden="false" customHeight="true" outlineLevel="0" collapsed="false">
      <c r="A56" s="7" t="s">
        <v>446</v>
      </c>
      <c r="B56" s="8" t="s">
        <v>381</v>
      </c>
      <c r="C56" s="8" t="s">
        <v>439</v>
      </c>
      <c r="D56" s="8" t="s">
        <v>447</v>
      </c>
      <c r="E56" s="8" t="s">
        <v>107</v>
      </c>
      <c r="F56" s="8" t="s">
        <v>36</v>
      </c>
      <c r="G56" s="8" t="s">
        <v>448</v>
      </c>
      <c r="H56" s="8" t="s">
        <v>449</v>
      </c>
      <c r="I56" s="8" t="s">
        <v>450</v>
      </c>
      <c r="J56" s="8" t="s">
        <v>49</v>
      </c>
      <c r="K56" s="8" t="s">
        <v>451</v>
      </c>
      <c r="L56" s="8" t="s">
        <v>452</v>
      </c>
      <c r="M56" s="12" t="s">
        <v>59</v>
      </c>
    </row>
    <row r="57" customFormat="false" ht="21.75" hidden="false" customHeight="true" outlineLevel="0" collapsed="false">
      <c r="A57" s="10" t="s">
        <v>453</v>
      </c>
      <c r="B57" s="11" t="s">
        <v>381</v>
      </c>
      <c r="C57" s="11" t="s">
        <v>439</v>
      </c>
      <c r="D57" s="11" t="s">
        <v>454</v>
      </c>
      <c r="E57" s="11" t="s">
        <v>107</v>
      </c>
      <c r="F57" s="11" t="s">
        <v>189</v>
      </c>
      <c r="G57" s="11" t="s">
        <v>455</v>
      </c>
      <c r="H57" s="11" t="s">
        <v>456</v>
      </c>
      <c r="I57" s="11" t="s">
        <v>421</v>
      </c>
      <c r="J57" s="11" t="s">
        <v>49</v>
      </c>
      <c r="K57" s="11" t="s">
        <v>457</v>
      </c>
      <c r="L57" s="11" t="s">
        <v>458</v>
      </c>
      <c r="M57" s="12" t="s">
        <v>59</v>
      </c>
    </row>
    <row r="58" customFormat="false" ht="21.75" hidden="false" customHeight="true" outlineLevel="0" collapsed="false">
      <c r="A58" s="7" t="s">
        <v>459</v>
      </c>
      <c r="B58" s="8" t="s">
        <v>381</v>
      </c>
      <c r="C58" s="8" t="s">
        <v>439</v>
      </c>
      <c r="D58" s="8" t="s">
        <v>460</v>
      </c>
      <c r="E58" s="8" t="s">
        <v>107</v>
      </c>
      <c r="F58" s="8" t="s">
        <v>36</v>
      </c>
      <c r="G58" s="8" t="s">
        <v>461</v>
      </c>
      <c r="H58" s="8" t="s">
        <v>462</v>
      </c>
      <c r="I58" s="8" t="s">
        <v>450</v>
      </c>
      <c r="J58" s="8" t="s">
        <v>49</v>
      </c>
      <c r="K58" s="8" t="s">
        <v>463</v>
      </c>
      <c r="L58" s="8" t="s">
        <v>464</v>
      </c>
      <c r="M58" s="13" t="s">
        <v>126</v>
      </c>
    </row>
    <row r="59" customFormat="false" ht="32.25" hidden="false" customHeight="true" outlineLevel="0" collapsed="false">
      <c r="A59" s="10" t="s">
        <v>465</v>
      </c>
      <c r="B59" s="11" t="s">
        <v>381</v>
      </c>
      <c r="C59" s="11" t="s">
        <v>439</v>
      </c>
      <c r="D59" s="11" t="s">
        <v>466</v>
      </c>
      <c r="E59" s="11" t="s">
        <v>107</v>
      </c>
      <c r="F59" s="11" t="s">
        <v>189</v>
      </c>
      <c r="G59" s="11" t="s">
        <v>467</v>
      </c>
      <c r="H59" s="11" t="s">
        <v>468</v>
      </c>
      <c r="I59" s="11" t="s">
        <v>469</v>
      </c>
      <c r="J59" s="11" t="s">
        <v>49</v>
      </c>
      <c r="K59" s="11" t="s">
        <v>470</v>
      </c>
      <c r="L59" s="11" t="s">
        <v>471</v>
      </c>
      <c r="M59" s="12" t="s">
        <v>59</v>
      </c>
    </row>
    <row r="60" customFormat="false" ht="21.75" hidden="false" customHeight="true" outlineLevel="0" collapsed="false">
      <c r="A60" s="7" t="s">
        <v>472</v>
      </c>
      <c r="B60" s="8" t="s">
        <v>381</v>
      </c>
      <c r="C60" s="8" t="s">
        <v>473</v>
      </c>
      <c r="D60" s="8" t="s">
        <v>474</v>
      </c>
      <c r="E60" s="8" t="s">
        <v>35</v>
      </c>
      <c r="F60" s="8" t="s">
        <v>36</v>
      </c>
      <c r="G60" s="8" t="s">
        <v>475</v>
      </c>
      <c r="H60" s="8" t="s">
        <v>476</v>
      </c>
      <c r="I60" s="8" t="s">
        <v>477</v>
      </c>
      <c r="J60" s="8" t="s">
        <v>49</v>
      </c>
      <c r="K60" s="8" t="s">
        <v>478</v>
      </c>
      <c r="L60" s="8" t="s">
        <v>479</v>
      </c>
      <c r="M60" s="9" t="s">
        <v>43</v>
      </c>
    </row>
    <row r="61" customFormat="false" ht="21.75" hidden="false" customHeight="true" outlineLevel="0" collapsed="false">
      <c r="A61" s="10" t="s">
        <v>480</v>
      </c>
      <c r="B61" s="11" t="s">
        <v>381</v>
      </c>
      <c r="C61" s="11" t="s">
        <v>481</v>
      </c>
      <c r="D61" s="11" t="s">
        <v>482</v>
      </c>
      <c r="E61" s="11" t="s">
        <v>35</v>
      </c>
      <c r="F61" s="11" t="s">
        <v>150</v>
      </c>
      <c r="G61" s="11" t="s">
        <v>483</v>
      </c>
      <c r="H61" s="11" t="s">
        <v>484</v>
      </c>
      <c r="I61" s="11" t="s">
        <v>485</v>
      </c>
      <c r="J61" s="11" t="s">
        <v>162</v>
      </c>
      <c r="K61" s="11" t="s">
        <v>486</v>
      </c>
      <c r="L61" s="11" t="s">
        <v>487</v>
      </c>
      <c r="M61" s="9" t="s">
        <v>43</v>
      </c>
    </row>
    <row r="62" customFormat="false" ht="21.75" hidden="false" customHeight="true" outlineLevel="0" collapsed="false">
      <c r="A62" s="7" t="s">
        <v>488</v>
      </c>
      <c r="B62" s="8" t="s">
        <v>381</v>
      </c>
      <c r="C62" s="8" t="s">
        <v>481</v>
      </c>
      <c r="D62" s="8" t="s">
        <v>489</v>
      </c>
      <c r="E62" s="8" t="s">
        <v>35</v>
      </c>
      <c r="F62" s="8" t="s">
        <v>158</v>
      </c>
      <c r="G62" s="8" t="s">
        <v>490</v>
      </c>
      <c r="H62" s="8" t="s">
        <v>491</v>
      </c>
      <c r="I62" s="8" t="s">
        <v>492</v>
      </c>
      <c r="J62" s="8" t="s">
        <v>49</v>
      </c>
      <c r="K62" s="8" t="s">
        <v>493</v>
      </c>
      <c r="L62" s="8" t="s">
        <v>494</v>
      </c>
      <c r="M62" s="9" t="s">
        <v>43</v>
      </c>
    </row>
    <row r="63" customFormat="false" ht="21.75" hidden="false" customHeight="true" outlineLevel="0" collapsed="false">
      <c r="A63" s="10" t="s">
        <v>495</v>
      </c>
      <c r="B63" s="11" t="s">
        <v>381</v>
      </c>
      <c r="C63" s="11" t="s">
        <v>496</v>
      </c>
      <c r="D63" s="11" t="s">
        <v>497</v>
      </c>
      <c r="E63" s="11" t="s">
        <v>35</v>
      </c>
      <c r="F63" s="11" t="s">
        <v>36</v>
      </c>
      <c r="G63" s="11" t="s">
        <v>498</v>
      </c>
      <c r="H63" s="11" t="s">
        <v>499</v>
      </c>
      <c r="I63" s="11" t="s">
        <v>500</v>
      </c>
      <c r="J63" s="11" t="s">
        <v>49</v>
      </c>
      <c r="K63" s="11" t="s">
        <v>501</v>
      </c>
      <c r="L63" s="11" t="s">
        <v>502</v>
      </c>
      <c r="M63" s="12" t="s">
        <v>59</v>
      </c>
    </row>
    <row r="64" customFormat="false" ht="21.75" hidden="false" customHeight="true" outlineLevel="0" collapsed="false">
      <c r="A64" s="7" t="s">
        <v>503</v>
      </c>
      <c r="B64" s="8" t="s">
        <v>504</v>
      </c>
      <c r="C64" s="8" t="s">
        <v>505</v>
      </c>
      <c r="D64" s="8" t="s">
        <v>506</v>
      </c>
      <c r="E64" s="8" t="s">
        <v>35</v>
      </c>
      <c r="F64" s="8" t="s">
        <v>150</v>
      </c>
      <c r="G64" s="8" t="s">
        <v>507</v>
      </c>
      <c r="H64" s="8" t="s">
        <v>508</v>
      </c>
      <c r="I64" s="8" t="s">
        <v>509</v>
      </c>
      <c r="J64" s="8" t="s">
        <v>49</v>
      </c>
      <c r="K64" s="8" t="s">
        <v>510</v>
      </c>
      <c r="L64" s="8" t="s">
        <v>511</v>
      </c>
      <c r="M64" s="9" t="s">
        <v>43</v>
      </c>
    </row>
    <row r="65" customFormat="false" ht="21.75" hidden="false" customHeight="true" outlineLevel="0" collapsed="false">
      <c r="A65" s="10" t="s">
        <v>512</v>
      </c>
      <c r="B65" s="11" t="s">
        <v>504</v>
      </c>
      <c r="C65" s="11" t="s">
        <v>513</v>
      </c>
      <c r="D65" s="11" t="s">
        <v>514</v>
      </c>
      <c r="E65" s="11" t="s">
        <v>35</v>
      </c>
      <c r="F65" s="11" t="s">
        <v>189</v>
      </c>
      <c r="G65" s="11" t="s">
        <v>515</v>
      </c>
      <c r="H65" s="11" t="s">
        <v>516</v>
      </c>
      <c r="I65" s="11" t="s">
        <v>517</v>
      </c>
      <c r="J65" s="11" t="s">
        <v>49</v>
      </c>
      <c r="K65" s="11" t="s">
        <v>518</v>
      </c>
      <c r="L65" s="11" t="s">
        <v>519</v>
      </c>
      <c r="M65" s="9" t="s">
        <v>43</v>
      </c>
    </row>
    <row r="66" customFormat="false" ht="21.75" hidden="false" customHeight="true" outlineLevel="0" collapsed="false">
      <c r="A66" s="7" t="s">
        <v>520</v>
      </c>
      <c r="B66" s="8" t="s">
        <v>504</v>
      </c>
      <c r="C66" s="8" t="s">
        <v>513</v>
      </c>
      <c r="D66" s="8" t="s">
        <v>521</v>
      </c>
      <c r="E66" s="8" t="s">
        <v>35</v>
      </c>
      <c r="F66" s="8" t="s">
        <v>189</v>
      </c>
      <c r="G66" s="8" t="s">
        <v>522</v>
      </c>
      <c r="H66" s="8" t="s">
        <v>523</v>
      </c>
      <c r="I66" s="8" t="s">
        <v>524</v>
      </c>
      <c r="J66" s="8" t="s">
        <v>49</v>
      </c>
      <c r="K66" s="8" t="s">
        <v>525</v>
      </c>
      <c r="L66" s="8" t="s">
        <v>526</v>
      </c>
      <c r="M66" s="9" t="s">
        <v>43</v>
      </c>
    </row>
    <row r="67" customFormat="false" ht="21.75" hidden="false" customHeight="true" outlineLevel="0" collapsed="false">
      <c r="A67" s="10" t="s">
        <v>527</v>
      </c>
      <c r="B67" s="11" t="s">
        <v>504</v>
      </c>
      <c r="C67" s="11" t="s">
        <v>528</v>
      </c>
      <c r="D67" s="11" t="s">
        <v>529</v>
      </c>
      <c r="E67" s="11" t="s">
        <v>35</v>
      </c>
      <c r="F67" s="11" t="s">
        <v>36</v>
      </c>
      <c r="G67" s="11" t="s">
        <v>530</v>
      </c>
      <c r="H67" s="11" t="s">
        <v>531</v>
      </c>
      <c r="I67" s="11" t="s">
        <v>524</v>
      </c>
      <c r="J67" s="11" t="s">
        <v>49</v>
      </c>
      <c r="K67" s="11" t="s">
        <v>532</v>
      </c>
      <c r="L67" s="11" t="s">
        <v>533</v>
      </c>
      <c r="M67" s="9" t="s">
        <v>43</v>
      </c>
    </row>
    <row r="68" customFormat="false" ht="15" hidden="false" customHeight="true" outlineLevel="0" collapsed="false">
      <c r="A68" s="7" t="s">
        <v>534</v>
      </c>
      <c r="B68" s="8" t="s">
        <v>504</v>
      </c>
      <c r="C68" s="8" t="s">
        <v>528</v>
      </c>
      <c r="D68" s="8" t="s">
        <v>535</v>
      </c>
      <c r="E68" s="8" t="s">
        <v>35</v>
      </c>
      <c r="F68" s="8" t="s">
        <v>150</v>
      </c>
      <c r="G68" s="8" t="s">
        <v>536</v>
      </c>
      <c r="H68" s="8" t="s">
        <v>537</v>
      </c>
      <c r="I68" s="8" t="s">
        <v>524</v>
      </c>
      <c r="J68" s="8" t="s">
        <v>49</v>
      </c>
      <c r="K68" s="8" t="s">
        <v>538</v>
      </c>
      <c r="L68" s="8" t="s">
        <v>539</v>
      </c>
      <c r="M68" s="9" t="s">
        <v>43</v>
      </c>
    </row>
    <row r="69" customFormat="false" ht="15" hidden="false" customHeight="true" outlineLevel="0" collapsed="false">
      <c r="A69" s="10" t="s">
        <v>540</v>
      </c>
      <c r="B69" s="11" t="s">
        <v>504</v>
      </c>
      <c r="C69" s="11" t="s">
        <v>541</v>
      </c>
      <c r="D69" s="11" t="s">
        <v>542</v>
      </c>
      <c r="E69" s="11" t="s">
        <v>35</v>
      </c>
      <c r="F69" s="11" t="s">
        <v>150</v>
      </c>
      <c r="G69" s="11" t="s">
        <v>543</v>
      </c>
      <c r="H69" s="11" t="s">
        <v>544</v>
      </c>
      <c r="I69" s="11" t="s">
        <v>524</v>
      </c>
      <c r="J69" s="11" t="s">
        <v>49</v>
      </c>
      <c r="K69" s="11" t="s">
        <v>545</v>
      </c>
      <c r="L69" s="11" t="s">
        <v>546</v>
      </c>
      <c r="M69" s="9" t="s">
        <v>43</v>
      </c>
    </row>
    <row r="70" customFormat="false" ht="21.75" hidden="false" customHeight="true" outlineLevel="0" collapsed="false">
      <c r="A70" s="7" t="s">
        <v>547</v>
      </c>
      <c r="B70" s="8" t="s">
        <v>504</v>
      </c>
      <c r="C70" s="8" t="s">
        <v>548</v>
      </c>
      <c r="D70" s="8" t="s">
        <v>549</v>
      </c>
      <c r="E70" s="8" t="s">
        <v>35</v>
      </c>
      <c r="F70" s="8" t="s">
        <v>158</v>
      </c>
      <c r="G70" s="8" t="s">
        <v>550</v>
      </c>
      <c r="H70" s="8" t="s">
        <v>551</v>
      </c>
      <c r="I70" s="8" t="s">
        <v>552</v>
      </c>
      <c r="J70" s="8" t="s">
        <v>162</v>
      </c>
      <c r="K70" s="8" t="s">
        <v>553</v>
      </c>
      <c r="L70" s="8" t="s">
        <v>554</v>
      </c>
      <c r="M70" s="12" t="s">
        <v>59</v>
      </c>
    </row>
    <row r="71" customFormat="false" ht="21.75" hidden="false" customHeight="true" outlineLevel="0" collapsed="false">
      <c r="A71" s="10" t="s">
        <v>555</v>
      </c>
      <c r="B71" s="11" t="s">
        <v>504</v>
      </c>
      <c r="C71" s="11" t="s">
        <v>548</v>
      </c>
      <c r="D71" s="11" t="s">
        <v>556</v>
      </c>
      <c r="E71" s="11" t="s">
        <v>35</v>
      </c>
      <c r="F71" s="11" t="s">
        <v>158</v>
      </c>
      <c r="G71" s="11" t="s">
        <v>557</v>
      </c>
      <c r="H71" s="11" t="s">
        <v>558</v>
      </c>
      <c r="I71" s="11" t="s">
        <v>559</v>
      </c>
      <c r="J71" s="11" t="s">
        <v>162</v>
      </c>
      <c r="K71" s="11" t="s">
        <v>560</v>
      </c>
      <c r="L71" s="11" t="s">
        <v>561</v>
      </c>
      <c r="M71" s="12" t="s">
        <v>59</v>
      </c>
    </row>
    <row r="72" customFormat="false" ht="21.75" hidden="false" customHeight="true" outlineLevel="0" collapsed="false">
      <c r="A72" s="7" t="s">
        <v>562</v>
      </c>
      <c r="B72" s="8" t="s">
        <v>504</v>
      </c>
      <c r="C72" s="8" t="s">
        <v>563</v>
      </c>
      <c r="D72" s="8" t="s">
        <v>564</v>
      </c>
      <c r="E72" s="8" t="s">
        <v>35</v>
      </c>
      <c r="F72" s="8" t="s">
        <v>150</v>
      </c>
      <c r="G72" s="8" t="s">
        <v>565</v>
      </c>
      <c r="H72" s="8" t="s">
        <v>566</v>
      </c>
      <c r="I72" s="8" t="s">
        <v>567</v>
      </c>
      <c r="J72" s="8" t="s">
        <v>568</v>
      </c>
      <c r="K72" s="8" t="s">
        <v>569</v>
      </c>
      <c r="L72" s="8" t="s">
        <v>570</v>
      </c>
      <c r="M72" s="9" t="s">
        <v>43</v>
      </c>
    </row>
    <row r="73" customFormat="false" ht="21.75" hidden="false" customHeight="true" outlineLevel="0" collapsed="false">
      <c r="A73" s="10" t="s">
        <v>571</v>
      </c>
      <c r="B73" s="11" t="s">
        <v>504</v>
      </c>
      <c r="C73" s="11" t="s">
        <v>563</v>
      </c>
      <c r="D73" s="11" t="s">
        <v>572</v>
      </c>
      <c r="E73" s="11" t="s">
        <v>35</v>
      </c>
      <c r="F73" s="11" t="s">
        <v>158</v>
      </c>
      <c r="G73" s="11" t="s">
        <v>573</v>
      </c>
      <c r="H73" s="11" t="s">
        <v>574</v>
      </c>
      <c r="I73" s="11" t="s">
        <v>567</v>
      </c>
      <c r="J73" s="11" t="s">
        <v>49</v>
      </c>
      <c r="K73" s="11" t="s">
        <v>575</v>
      </c>
      <c r="L73" s="11" t="s">
        <v>576</v>
      </c>
      <c r="M73" s="12" t="s">
        <v>59</v>
      </c>
    </row>
    <row r="74" customFormat="false" ht="21.75" hidden="false" customHeight="true" outlineLevel="0" collapsed="false">
      <c r="A74" s="7" t="s">
        <v>577</v>
      </c>
      <c r="B74" s="8" t="s">
        <v>504</v>
      </c>
      <c r="C74" s="8" t="s">
        <v>578</v>
      </c>
      <c r="D74" s="8" t="s">
        <v>579</v>
      </c>
      <c r="E74" s="8" t="s">
        <v>35</v>
      </c>
      <c r="F74" s="8" t="s">
        <v>158</v>
      </c>
      <c r="G74" s="8" t="s">
        <v>580</v>
      </c>
      <c r="H74" s="8" t="s">
        <v>581</v>
      </c>
      <c r="I74" s="8" t="s">
        <v>582</v>
      </c>
      <c r="J74" s="8" t="s">
        <v>49</v>
      </c>
      <c r="K74" s="8" t="s">
        <v>583</v>
      </c>
      <c r="L74" s="8" t="s">
        <v>584</v>
      </c>
      <c r="M74" s="12" t="s">
        <v>59</v>
      </c>
    </row>
    <row r="75" customFormat="false" ht="21.75" hidden="false" customHeight="true" outlineLevel="0" collapsed="false">
      <c r="A75" s="10" t="s">
        <v>585</v>
      </c>
      <c r="B75" s="11" t="s">
        <v>504</v>
      </c>
      <c r="C75" s="11" t="s">
        <v>586</v>
      </c>
      <c r="D75" s="11" t="s">
        <v>587</v>
      </c>
      <c r="E75" s="11" t="s">
        <v>35</v>
      </c>
      <c r="F75" s="11" t="s">
        <v>588</v>
      </c>
      <c r="G75" s="11" t="s">
        <v>589</v>
      </c>
      <c r="H75" s="11" t="s">
        <v>590</v>
      </c>
      <c r="I75" s="11" t="s">
        <v>591</v>
      </c>
      <c r="J75" s="11" t="s">
        <v>49</v>
      </c>
      <c r="K75" s="11" t="s">
        <v>592</v>
      </c>
      <c r="L75" s="11" t="s">
        <v>593</v>
      </c>
      <c r="M75" s="9" t="s">
        <v>43</v>
      </c>
    </row>
    <row r="76" customFormat="false" ht="21.75" hidden="false" customHeight="true" outlineLevel="0" collapsed="false">
      <c r="A76" s="7" t="s">
        <v>594</v>
      </c>
      <c r="B76" s="8" t="s">
        <v>504</v>
      </c>
      <c r="C76" s="8" t="s">
        <v>586</v>
      </c>
      <c r="D76" s="8" t="s">
        <v>595</v>
      </c>
      <c r="E76" s="8" t="s">
        <v>35</v>
      </c>
      <c r="F76" s="8" t="s">
        <v>588</v>
      </c>
      <c r="G76" s="8" t="s">
        <v>596</v>
      </c>
      <c r="H76" s="8" t="s">
        <v>597</v>
      </c>
      <c r="I76" s="8" t="s">
        <v>591</v>
      </c>
      <c r="J76" s="8" t="s">
        <v>49</v>
      </c>
      <c r="K76" s="8" t="s">
        <v>598</v>
      </c>
      <c r="L76" s="8" t="s">
        <v>599</v>
      </c>
      <c r="M76" s="9" t="s">
        <v>43</v>
      </c>
    </row>
    <row r="77" customFormat="false" ht="15" hidden="false" customHeight="true" outlineLevel="0" collapsed="false">
      <c r="A77" s="10" t="s">
        <v>600</v>
      </c>
      <c r="B77" s="11" t="s">
        <v>504</v>
      </c>
      <c r="C77" s="11" t="s">
        <v>586</v>
      </c>
      <c r="D77" s="11" t="s">
        <v>601</v>
      </c>
      <c r="E77" s="11" t="s">
        <v>35</v>
      </c>
      <c r="F77" s="11" t="s">
        <v>602</v>
      </c>
      <c r="G77" s="11" t="s">
        <v>603</v>
      </c>
      <c r="H77" s="11" t="s">
        <v>604</v>
      </c>
      <c r="I77" s="11" t="s">
        <v>605</v>
      </c>
      <c r="J77" s="11" t="s">
        <v>606</v>
      </c>
      <c r="K77" s="11" t="s">
        <v>607</v>
      </c>
      <c r="L77" s="11" t="s">
        <v>608</v>
      </c>
      <c r="M77" s="9" t="s">
        <v>43</v>
      </c>
    </row>
    <row r="78" customFormat="false" ht="21.75" hidden="false" customHeight="true" outlineLevel="0" collapsed="false">
      <c r="A78" s="7" t="s">
        <v>609</v>
      </c>
      <c r="B78" s="8" t="s">
        <v>504</v>
      </c>
      <c r="C78" s="8" t="s">
        <v>586</v>
      </c>
      <c r="D78" s="8" t="s">
        <v>610</v>
      </c>
      <c r="E78" s="8" t="s">
        <v>35</v>
      </c>
      <c r="F78" s="8" t="s">
        <v>158</v>
      </c>
      <c r="G78" s="8" t="s">
        <v>611</v>
      </c>
      <c r="H78" s="8" t="s">
        <v>612</v>
      </c>
      <c r="I78" s="8" t="s">
        <v>591</v>
      </c>
      <c r="J78" s="8" t="s">
        <v>162</v>
      </c>
      <c r="K78" s="8" t="s">
        <v>613</v>
      </c>
      <c r="L78" s="8" t="s">
        <v>614</v>
      </c>
      <c r="M78" s="12" t="s">
        <v>59</v>
      </c>
    </row>
    <row r="79" customFormat="false" ht="21.75" hidden="false" customHeight="true" outlineLevel="0" collapsed="false">
      <c r="A79" s="10" t="s">
        <v>615</v>
      </c>
      <c r="B79" s="11" t="s">
        <v>504</v>
      </c>
      <c r="C79" s="11" t="s">
        <v>616</v>
      </c>
      <c r="D79" s="11" t="s">
        <v>617</v>
      </c>
      <c r="E79" s="11" t="s">
        <v>35</v>
      </c>
      <c r="F79" s="11" t="s">
        <v>36</v>
      </c>
      <c r="G79" s="11" t="s">
        <v>618</v>
      </c>
      <c r="H79" s="11" t="s">
        <v>619</v>
      </c>
      <c r="I79" s="11" t="s">
        <v>48</v>
      </c>
      <c r="J79" s="11" t="s">
        <v>49</v>
      </c>
      <c r="K79" s="11" t="s">
        <v>620</v>
      </c>
      <c r="L79" s="11" t="s">
        <v>621</v>
      </c>
      <c r="M79" s="9" t="s">
        <v>43</v>
      </c>
    </row>
    <row r="80" customFormat="false" ht="21.75" hidden="false" customHeight="true" outlineLevel="0" collapsed="false">
      <c r="A80" s="7" t="s">
        <v>622</v>
      </c>
      <c r="B80" s="8" t="s">
        <v>504</v>
      </c>
      <c r="C80" s="8" t="s">
        <v>616</v>
      </c>
      <c r="D80" s="8" t="s">
        <v>623</v>
      </c>
      <c r="E80" s="8" t="s">
        <v>35</v>
      </c>
      <c r="F80" s="8" t="s">
        <v>36</v>
      </c>
      <c r="G80" s="8" t="s">
        <v>624</v>
      </c>
      <c r="H80" s="8" t="s">
        <v>625</v>
      </c>
      <c r="I80" s="8" t="s">
        <v>626</v>
      </c>
      <c r="J80" s="8" t="s">
        <v>49</v>
      </c>
      <c r="K80" s="8" t="s">
        <v>627</v>
      </c>
      <c r="L80" s="8" t="s">
        <v>628</v>
      </c>
      <c r="M80" s="12" t="s">
        <v>59</v>
      </c>
    </row>
    <row r="81" customFormat="false" ht="21.75" hidden="false" customHeight="true" outlineLevel="0" collapsed="false">
      <c r="A81" s="10" t="s">
        <v>629</v>
      </c>
      <c r="B81" s="11" t="s">
        <v>630</v>
      </c>
      <c r="C81" s="11" t="s">
        <v>631</v>
      </c>
      <c r="D81" s="11" t="s">
        <v>632</v>
      </c>
      <c r="E81" s="11" t="s">
        <v>630</v>
      </c>
      <c r="F81" s="11" t="s">
        <v>297</v>
      </c>
      <c r="G81" s="11" t="s">
        <v>633</v>
      </c>
      <c r="H81" s="11" t="s">
        <v>634</v>
      </c>
      <c r="I81" s="11" t="s">
        <v>635</v>
      </c>
      <c r="J81" s="11" t="s">
        <v>636</v>
      </c>
      <c r="K81" s="11" t="s">
        <v>637</v>
      </c>
      <c r="L81" s="11" t="s">
        <v>638</v>
      </c>
      <c r="M81" s="12" t="s">
        <v>59</v>
      </c>
    </row>
    <row r="82" customFormat="false" ht="21.75" hidden="false" customHeight="true" outlineLevel="0" collapsed="false">
      <c r="A82" s="7" t="s">
        <v>639</v>
      </c>
      <c r="B82" s="8" t="s">
        <v>630</v>
      </c>
      <c r="C82" s="8" t="s">
        <v>631</v>
      </c>
      <c r="D82" s="8" t="s">
        <v>640</v>
      </c>
      <c r="E82" s="8" t="s">
        <v>630</v>
      </c>
      <c r="F82" s="8" t="s">
        <v>297</v>
      </c>
      <c r="G82" s="8" t="s">
        <v>641</v>
      </c>
      <c r="H82" s="8" t="s">
        <v>642</v>
      </c>
      <c r="I82" s="8" t="s">
        <v>635</v>
      </c>
      <c r="J82" s="8" t="s">
        <v>643</v>
      </c>
      <c r="K82" s="8" t="s">
        <v>644</v>
      </c>
      <c r="L82" s="8" t="s">
        <v>645</v>
      </c>
      <c r="M82" s="9" t="s">
        <v>43</v>
      </c>
    </row>
    <row r="83" customFormat="false" ht="21.75" hidden="false" customHeight="true" outlineLevel="0" collapsed="false">
      <c r="A83" s="10" t="s">
        <v>646</v>
      </c>
      <c r="B83" s="11" t="s">
        <v>630</v>
      </c>
      <c r="C83" s="11" t="s">
        <v>647</v>
      </c>
      <c r="D83" s="11" t="s">
        <v>648</v>
      </c>
      <c r="E83" s="11" t="s">
        <v>630</v>
      </c>
      <c r="F83" s="11" t="s">
        <v>297</v>
      </c>
      <c r="G83" s="11" t="s">
        <v>649</v>
      </c>
      <c r="H83" s="11" t="s">
        <v>650</v>
      </c>
      <c r="I83" s="11" t="s">
        <v>635</v>
      </c>
      <c r="J83" s="11" t="s">
        <v>636</v>
      </c>
      <c r="K83" s="11" t="s">
        <v>651</v>
      </c>
      <c r="L83" s="11" t="s">
        <v>652</v>
      </c>
      <c r="M83" s="9" t="s">
        <v>43</v>
      </c>
    </row>
    <row r="84" customFormat="false" ht="21.75" hidden="false" customHeight="true" outlineLevel="0" collapsed="false">
      <c r="A84" s="7" t="s">
        <v>653</v>
      </c>
      <c r="B84" s="8" t="s">
        <v>630</v>
      </c>
      <c r="C84" s="8" t="s">
        <v>647</v>
      </c>
      <c r="D84" s="8" t="s">
        <v>654</v>
      </c>
      <c r="E84" s="8" t="s">
        <v>630</v>
      </c>
      <c r="F84" s="8" t="s">
        <v>297</v>
      </c>
      <c r="G84" s="8" t="s">
        <v>655</v>
      </c>
      <c r="H84" s="8" t="s">
        <v>656</v>
      </c>
      <c r="I84" s="8" t="s">
        <v>635</v>
      </c>
      <c r="J84" s="8" t="s">
        <v>636</v>
      </c>
      <c r="K84" s="8" t="s">
        <v>657</v>
      </c>
      <c r="L84" s="8" t="s">
        <v>658</v>
      </c>
      <c r="M84" s="12" t="s">
        <v>59</v>
      </c>
    </row>
    <row r="85" customFormat="false" ht="21.75" hidden="false" customHeight="true" outlineLevel="0" collapsed="false">
      <c r="A85" s="10" t="s">
        <v>659</v>
      </c>
      <c r="B85" s="11" t="s">
        <v>630</v>
      </c>
      <c r="C85" s="11" t="s">
        <v>660</v>
      </c>
      <c r="D85" s="11" t="s">
        <v>661</v>
      </c>
      <c r="E85" s="11" t="s">
        <v>630</v>
      </c>
      <c r="F85" s="11" t="s">
        <v>297</v>
      </c>
      <c r="G85" s="11" t="s">
        <v>662</v>
      </c>
      <c r="H85" s="11" t="s">
        <v>663</v>
      </c>
      <c r="I85" s="11" t="s">
        <v>664</v>
      </c>
      <c r="J85" s="11" t="s">
        <v>643</v>
      </c>
      <c r="K85" s="11" t="s">
        <v>665</v>
      </c>
      <c r="L85" s="11" t="s">
        <v>666</v>
      </c>
      <c r="M85" s="9" t="s">
        <v>43</v>
      </c>
    </row>
    <row r="86" customFormat="false" ht="21.75" hidden="false" customHeight="true" outlineLevel="0" collapsed="false">
      <c r="A86" s="7" t="s">
        <v>667</v>
      </c>
      <c r="B86" s="8" t="s">
        <v>630</v>
      </c>
      <c r="C86" s="8" t="s">
        <v>660</v>
      </c>
      <c r="D86" s="8" t="s">
        <v>668</v>
      </c>
      <c r="E86" s="8" t="s">
        <v>630</v>
      </c>
      <c r="F86" s="8" t="s">
        <v>669</v>
      </c>
      <c r="G86" s="8" t="s">
        <v>670</v>
      </c>
      <c r="H86" s="8" t="s">
        <v>671</v>
      </c>
      <c r="I86" s="8" t="s">
        <v>635</v>
      </c>
      <c r="J86" s="8" t="s">
        <v>643</v>
      </c>
      <c r="K86" s="8" t="s">
        <v>672</v>
      </c>
      <c r="L86" s="8" t="s">
        <v>673</v>
      </c>
      <c r="M86" s="9" t="s">
        <v>43</v>
      </c>
    </row>
    <row r="87" customFormat="false" ht="21.75" hidden="false" customHeight="true" outlineLevel="0" collapsed="false">
      <c r="A87" s="10" t="s">
        <v>674</v>
      </c>
      <c r="B87" s="11" t="s">
        <v>630</v>
      </c>
      <c r="C87" s="11" t="s">
        <v>660</v>
      </c>
      <c r="D87" s="11" t="s">
        <v>675</v>
      </c>
      <c r="E87" s="11" t="s">
        <v>630</v>
      </c>
      <c r="F87" s="11" t="s">
        <v>297</v>
      </c>
      <c r="G87" s="11" t="s">
        <v>676</v>
      </c>
      <c r="H87" s="11" t="s">
        <v>677</v>
      </c>
      <c r="I87" s="11" t="s">
        <v>635</v>
      </c>
      <c r="J87" s="11" t="s">
        <v>678</v>
      </c>
      <c r="K87" s="11" t="s">
        <v>679</v>
      </c>
      <c r="L87" s="11" t="s">
        <v>680</v>
      </c>
      <c r="M87" s="9" t="s">
        <v>43</v>
      </c>
    </row>
    <row r="88" customFormat="false" ht="21.75" hidden="false" customHeight="true" outlineLevel="0" collapsed="false">
      <c r="A88" s="7" t="s">
        <v>681</v>
      </c>
      <c r="B88" s="8" t="s">
        <v>630</v>
      </c>
      <c r="C88" s="8" t="s">
        <v>660</v>
      </c>
      <c r="D88" s="8" t="s">
        <v>682</v>
      </c>
      <c r="E88" s="8" t="s">
        <v>630</v>
      </c>
      <c r="F88" s="8" t="s">
        <v>297</v>
      </c>
      <c r="G88" s="8" t="s">
        <v>683</v>
      </c>
      <c r="H88" s="8" t="s">
        <v>684</v>
      </c>
      <c r="I88" s="8" t="s">
        <v>635</v>
      </c>
      <c r="J88" s="8" t="s">
        <v>678</v>
      </c>
      <c r="K88" s="8" t="s">
        <v>685</v>
      </c>
      <c r="L88" s="8" t="s">
        <v>686</v>
      </c>
      <c r="M88" s="9" t="s">
        <v>43</v>
      </c>
    </row>
    <row r="89" customFormat="false" ht="32.25" hidden="false" customHeight="true" outlineLevel="0" collapsed="false">
      <c r="A89" s="10" t="s">
        <v>687</v>
      </c>
      <c r="B89" s="11" t="s">
        <v>630</v>
      </c>
      <c r="C89" s="11" t="s">
        <v>660</v>
      </c>
      <c r="D89" s="11" t="s">
        <v>688</v>
      </c>
      <c r="E89" s="11" t="s">
        <v>630</v>
      </c>
      <c r="F89" s="11" t="s">
        <v>297</v>
      </c>
      <c r="G89" s="11" t="s">
        <v>689</v>
      </c>
      <c r="H89" s="11" t="s">
        <v>690</v>
      </c>
      <c r="I89" s="11" t="s">
        <v>691</v>
      </c>
      <c r="J89" s="11" t="s">
        <v>49</v>
      </c>
      <c r="K89" s="11" t="s">
        <v>692</v>
      </c>
      <c r="L89" s="11" t="s">
        <v>693</v>
      </c>
      <c r="M89" s="12" t="s">
        <v>59</v>
      </c>
    </row>
    <row r="90" customFormat="false" ht="21.75" hidden="false" customHeight="true" outlineLevel="0" collapsed="false">
      <c r="A90" s="7" t="s">
        <v>694</v>
      </c>
      <c r="B90" s="8" t="s">
        <v>630</v>
      </c>
      <c r="C90" s="8" t="s">
        <v>660</v>
      </c>
      <c r="D90" s="8" t="s">
        <v>695</v>
      </c>
      <c r="E90" s="8" t="s">
        <v>630</v>
      </c>
      <c r="F90" s="8" t="s">
        <v>206</v>
      </c>
      <c r="G90" s="8" t="s">
        <v>696</v>
      </c>
      <c r="H90" s="8" t="s">
        <v>697</v>
      </c>
      <c r="I90" s="8" t="s">
        <v>698</v>
      </c>
      <c r="J90" s="8" t="s">
        <v>643</v>
      </c>
      <c r="K90" s="8" t="s">
        <v>699</v>
      </c>
      <c r="L90" s="8" t="s">
        <v>700</v>
      </c>
      <c r="M90" s="12" t="s">
        <v>59</v>
      </c>
    </row>
    <row r="91" customFormat="false" ht="15" hidden="false" customHeight="true" outlineLevel="0" collapsed="false">
      <c r="A91" s="10" t="s">
        <v>701</v>
      </c>
      <c r="B91" s="11" t="s">
        <v>630</v>
      </c>
      <c r="C91" s="11" t="s">
        <v>496</v>
      </c>
      <c r="D91" s="11" t="s">
        <v>702</v>
      </c>
      <c r="E91" s="11" t="s">
        <v>630</v>
      </c>
      <c r="F91" s="11" t="s">
        <v>297</v>
      </c>
      <c r="G91" s="11" t="s">
        <v>703</v>
      </c>
      <c r="H91" s="11" t="s">
        <v>704</v>
      </c>
      <c r="I91" s="11" t="s">
        <v>635</v>
      </c>
      <c r="J91" s="11" t="s">
        <v>49</v>
      </c>
      <c r="K91" s="11" t="s">
        <v>705</v>
      </c>
      <c r="L91" s="11" t="s">
        <v>706</v>
      </c>
      <c r="M91" s="9" t="s">
        <v>43</v>
      </c>
    </row>
    <row r="92" customFormat="false" ht="21.75" hidden="false" customHeight="true" outlineLevel="0" collapsed="false">
      <c r="A92" s="7" t="s">
        <v>707</v>
      </c>
      <c r="B92" s="8" t="s">
        <v>630</v>
      </c>
      <c r="C92" s="8" t="s">
        <v>496</v>
      </c>
      <c r="D92" s="8" t="s">
        <v>708</v>
      </c>
      <c r="E92" s="8" t="s">
        <v>630</v>
      </c>
      <c r="F92" s="8" t="s">
        <v>669</v>
      </c>
      <c r="G92" s="8" t="s">
        <v>709</v>
      </c>
      <c r="H92" s="8" t="s">
        <v>710</v>
      </c>
      <c r="I92" s="8" t="s">
        <v>711</v>
      </c>
      <c r="J92" s="8" t="s">
        <v>49</v>
      </c>
      <c r="K92" s="8" t="s">
        <v>712</v>
      </c>
      <c r="L92" s="8" t="s">
        <v>713</v>
      </c>
      <c r="M92" s="9" t="s">
        <v>43</v>
      </c>
    </row>
    <row r="93" customFormat="false" ht="21.75" hidden="false" customHeight="true" outlineLevel="0" collapsed="false">
      <c r="A93" s="10" t="s">
        <v>714</v>
      </c>
      <c r="B93" s="11" t="s">
        <v>630</v>
      </c>
      <c r="C93" s="11" t="s">
        <v>496</v>
      </c>
      <c r="D93" s="11" t="s">
        <v>715</v>
      </c>
      <c r="E93" s="11" t="s">
        <v>630</v>
      </c>
      <c r="F93" s="11" t="s">
        <v>297</v>
      </c>
      <c r="G93" s="11" t="s">
        <v>716</v>
      </c>
      <c r="H93" s="11" t="s">
        <v>717</v>
      </c>
      <c r="I93" s="11" t="s">
        <v>635</v>
      </c>
      <c r="J93" s="11" t="s">
        <v>49</v>
      </c>
      <c r="K93" s="11" t="s">
        <v>718</v>
      </c>
      <c r="L93" s="11" t="s">
        <v>719</v>
      </c>
      <c r="M93" s="12" t="s">
        <v>59</v>
      </c>
    </row>
    <row r="94" customFormat="false" ht="21.75" hidden="false" customHeight="true" outlineLevel="0" collapsed="false">
      <c r="A94" s="7" t="s">
        <v>720</v>
      </c>
      <c r="B94" s="8" t="s">
        <v>630</v>
      </c>
      <c r="C94" s="8" t="s">
        <v>496</v>
      </c>
      <c r="D94" s="8" t="s">
        <v>721</v>
      </c>
      <c r="E94" s="8" t="s">
        <v>630</v>
      </c>
      <c r="F94" s="8" t="s">
        <v>297</v>
      </c>
      <c r="G94" s="8" t="s">
        <v>722</v>
      </c>
      <c r="H94" s="8" t="s">
        <v>723</v>
      </c>
      <c r="I94" s="8" t="s">
        <v>724</v>
      </c>
      <c r="J94" s="8" t="s">
        <v>678</v>
      </c>
      <c r="K94" s="8" t="s">
        <v>725</v>
      </c>
      <c r="L94" s="8" t="s">
        <v>726</v>
      </c>
      <c r="M94" s="13" t="s">
        <v>126</v>
      </c>
    </row>
    <row r="95" customFormat="false" ht="21.75" hidden="false" customHeight="true" outlineLevel="0" collapsed="false">
      <c r="A95" s="10" t="s">
        <v>727</v>
      </c>
      <c r="B95" s="11" t="s">
        <v>630</v>
      </c>
      <c r="C95" s="11" t="s">
        <v>496</v>
      </c>
      <c r="D95" s="11" t="s">
        <v>728</v>
      </c>
      <c r="E95" s="11" t="s">
        <v>630</v>
      </c>
      <c r="F95" s="11" t="s">
        <v>669</v>
      </c>
      <c r="G95" s="11" t="s">
        <v>729</v>
      </c>
      <c r="H95" s="11" t="s">
        <v>730</v>
      </c>
      <c r="I95" s="11" t="s">
        <v>731</v>
      </c>
      <c r="J95" s="11" t="s">
        <v>49</v>
      </c>
      <c r="K95" s="11" t="s">
        <v>732</v>
      </c>
      <c r="L95" s="11" t="s">
        <v>733</v>
      </c>
      <c r="M95" s="13" t="s">
        <v>126</v>
      </c>
    </row>
    <row r="96" customFormat="false" ht="21.75" hidden="false" customHeight="true" outlineLevel="0" collapsed="false">
      <c r="A96" s="7" t="s">
        <v>734</v>
      </c>
      <c r="B96" s="8" t="s">
        <v>630</v>
      </c>
      <c r="C96" s="8" t="s">
        <v>735</v>
      </c>
      <c r="D96" s="8" t="s">
        <v>736</v>
      </c>
      <c r="E96" s="8" t="s">
        <v>630</v>
      </c>
      <c r="F96" s="8" t="s">
        <v>669</v>
      </c>
      <c r="G96" s="8" t="s">
        <v>737</v>
      </c>
      <c r="H96" s="8" t="s">
        <v>738</v>
      </c>
      <c r="I96" s="8" t="s">
        <v>739</v>
      </c>
      <c r="J96" s="8" t="s">
        <v>49</v>
      </c>
      <c r="K96" s="8" t="s">
        <v>740</v>
      </c>
      <c r="L96" s="8" t="s">
        <v>741</v>
      </c>
      <c r="M96" s="12" t="s">
        <v>59</v>
      </c>
    </row>
    <row r="97" customFormat="false" ht="21.75" hidden="false" customHeight="true" outlineLevel="0" collapsed="false">
      <c r="A97" s="10" t="s">
        <v>742</v>
      </c>
      <c r="B97" s="11" t="s">
        <v>630</v>
      </c>
      <c r="C97" s="11" t="s">
        <v>735</v>
      </c>
      <c r="D97" s="11" t="s">
        <v>743</v>
      </c>
      <c r="E97" s="11" t="s">
        <v>630</v>
      </c>
      <c r="F97" s="11" t="s">
        <v>669</v>
      </c>
      <c r="G97" s="11" t="s">
        <v>744</v>
      </c>
      <c r="H97" s="11" t="s">
        <v>745</v>
      </c>
      <c r="I97" s="11" t="s">
        <v>746</v>
      </c>
      <c r="J97" s="11" t="s">
        <v>49</v>
      </c>
      <c r="K97" s="11" t="s">
        <v>740</v>
      </c>
      <c r="L97" s="11" t="s">
        <v>747</v>
      </c>
      <c r="M97" s="12" t="s">
        <v>59</v>
      </c>
    </row>
    <row r="98" customFormat="false" ht="21.75" hidden="false" customHeight="true" outlineLevel="0" collapsed="false">
      <c r="A98" s="7" t="s">
        <v>748</v>
      </c>
      <c r="B98" s="8" t="s">
        <v>630</v>
      </c>
      <c r="C98" s="8" t="s">
        <v>735</v>
      </c>
      <c r="D98" s="8" t="s">
        <v>749</v>
      </c>
      <c r="E98" s="8" t="s">
        <v>630</v>
      </c>
      <c r="F98" s="8" t="s">
        <v>669</v>
      </c>
      <c r="G98" s="8" t="s">
        <v>750</v>
      </c>
      <c r="H98" s="8" t="s">
        <v>751</v>
      </c>
      <c r="I98" s="8" t="s">
        <v>752</v>
      </c>
      <c r="J98" s="8" t="s">
        <v>49</v>
      </c>
      <c r="K98" s="8" t="s">
        <v>753</v>
      </c>
      <c r="L98" s="8" t="s">
        <v>754</v>
      </c>
      <c r="M98" s="12" t="s">
        <v>59</v>
      </c>
    </row>
    <row r="99" customFormat="false" ht="21.75" hidden="false" customHeight="true" outlineLevel="0" collapsed="false">
      <c r="A99" s="10" t="s">
        <v>755</v>
      </c>
      <c r="B99" s="11" t="s">
        <v>630</v>
      </c>
      <c r="C99" s="11" t="s">
        <v>735</v>
      </c>
      <c r="D99" s="11" t="s">
        <v>756</v>
      </c>
      <c r="E99" s="11" t="s">
        <v>630</v>
      </c>
      <c r="F99" s="11" t="s">
        <v>669</v>
      </c>
      <c r="G99" s="11" t="s">
        <v>757</v>
      </c>
      <c r="H99" s="11" t="s">
        <v>758</v>
      </c>
      <c r="I99" s="11" t="s">
        <v>759</v>
      </c>
      <c r="J99" s="11" t="s">
        <v>49</v>
      </c>
      <c r="K99" s="11" t="s">
        <v>760</v>
      </c>
      <c r="L99" s="11" t="s">
        <v>761</v>
      </c>
      <c r="M99" s="12" t="s">
        <v>59</v>
      </c>
    </row>
    <row r="100" customFormat="false" ht="21.75" hidden="false" customHeight="true" outlineLevel="0" collapsed="false">
      <c r="A100" s="7" t="s">
        <v>762</v>
      </c>
      <c r="B100" s="8" t="s">
        <v>630</v>
      </c>
      <c r="C100" s="8" t="s">
        <v>763</v>
      </c>
      <c r="D100" s="8" t="s">
        <v>764</v>
      </c>
      <c r="E100" s="8" t="s">
        <v>630</v>
      </c>
      <c r="F100" s="8" t="s">
        <v>297</v>
      </c>
      <c r="G100" s="8" t="s">
        <v>765</v>
      </c>
      <c r="H100" s="8" t="s">
        <v>766</v>
      </c>
      <c r="I100" s="8" t="s">
        <v>635</v>
      </c>
      <c r="J100" s="8" t="s">
        <v>636</v>
      </c>
      <c r="K100" s="8" t="s">
        <v>767</v>
      </c>
      <c r="L100" s="8" t="s">
        <v>768</v>
      </c>
      <c r="M100" s="12" t="s">
        <v>59</v>
      </c>
    </row>
    <row r="101" customFormat="false" ht="21.75" hidden="false" customHeight="true" outlineLevel="0" collapsed="false">
      <c r="A101" s="10" t="s">
        <v>769</v>
      </c>
      <c r="B101" s="11" t="s">
        <v>630</v>
      </c>
      <c r="C101" s="11" t="s">
        <v>763</v>
      </c>
      <c r="D101" s="11" t="s">
        <v>770</v>
      </c>
      <c r="E101" s="11" t="s">
        <v>630</v>
      </c>
      <c r="F101" s="11" t="s">
        <v>669</v>
      </c>
      <c r="G101" s="11" t="s">
        <v>771</v>
      </c>
      <c r="H101" s="11" t="s">
        <v>772</v>
      </c>
      <c r="I101" s="11" t="s">
        <v>635</v>
      </c>
      <c r="J101" s="11" t="s">
        <v>162</v>
      </c>
      <c r="K101" s="11" t="s">
        <v>773</v>
      </c>
      <c r="L101" s="11" t="s">
        <v>774</v>
      </c>
      <c r="M101" s="12" t="s">
        <v>59</v>
      </c>
    </row>
    <row r="102" customFormat="false" ht="21.75" hidden="false" customHeight="true" outlineLevel="0" collapsed="false">
      <c r="A102" s="7" t="s">
        <v>775</v>
      </c>
      <c r="B102" s="8" t="s">
        <v>630</v>
      </c>
      <c r="C102" s="8" t="s">
        <v>776</v>
      </c>
      <c r="D102" s="8" t="s">
        <v>777</v>
      </c>
      <c r="E102" s="8" t="s">
        <v>630</v>
      </c>
      <c r="F102" s="8" t="s">
        <v>297</v>
      </c>
      <c r="G102" s="8" t="s">
        <v>778</v>
      </c>
      <c r="H102" s="8" t="s">
        <v>779</v>
      </c>
      <c r="I102" s="8" t="s">
        <v>635</v>
      </c>
      <c r="J102" s="8" t="s">
        <v>162</v>
      </c>
      <c r="K102" s="8" t="s">
        <v>780</v>
      </c>
      <c r="L102" s="8" t="s">
        <v>781</v>
      </c>
      <c r="M102" s="13" t="s">
        <v>126</v>
      </c>
    </row>
    <row r="103" customFormat="false" ht="15" hidden="false" customHeight="true" outlineLevel="0" collapsed="false">
      <c r="A103" s="10" t="s">
        <v>782</v>
      </c>
      <c r="B103" s="11" t="s">
        <v>630</v>
      </c>
      <c r="C103" s="11" t="s">
        <v>297</v>
      </c>
      <c r="D103" s="11" t="s">
        <v>783</v>
      </c>
      <c r="E103" s="11" t="s">
        <v>205</v>
      </c>
      <c r="F103" s="11" t="s">
        <v>297</v>
      </c>
      <c r="G103" s="11" t="s">
        <v>784</v>
      </c>
      <c r="H103" s="11" t="s">
        <v>785</v>
      </c>
      <c r="I103" s="11" t="s">
        <v>285</v>
      </c>
      <c r="J103" s="11" t="s">
        <v>369</v>
      </c>
      <c r="K103" s="11" t="s">
        <v>786</v>
      </c>
      <c r="L103" s="11" t="s">
        <v>787</v>
      </c>
      <c r="M103" s="9" t="s">
        <v>43</v>
      </c>
    </row>
    <row r="104" customFormat="false" ht="15" hidden="false" customHeight="true" outlineLevel="0" collapsed="false">
      <c r="A104" s="7" t="s">
        <v>788</v>
      </c>
      <c r="B104" s="8" t="s">
        <v>630</v>
      </c>
      <c r="C104" s="8" t="s">
        <v>297</v>
      </c>
      <c r="D104" s="8" t="s">
        <v>789</v>
      </c>
      <c r="E104" s="8" t="s">
        <v>630</v>
      </c>
      <c r="F104" s="8" t="s">
        <v>297</v>
      </c>
      <c r="G104" s="8" t="s">
        <v>790</v>
      </c>
      <c r="H104" s="8" t="s">
        <v>791</v>
      </c>
      <c r="I104" s="8" t="s">
        <v>792</v>
      </c>
      <c r="J104" s="8" t="s">
        <v>636</v>
      </c>
      <c r="K104" s="8" t="s">
        <v>793</v>
      </c>
      <c r="L104" s="8" t="s">
        <v>794</v>
      </c>
      <c r="M104" s="13" t="s">
        <v>126</v>
      </c>
    </row>
    <row r="105" customFormat="false" ht="21.75" hidden="false" customHeight="true" outlineLevel="0" collapsed="false">
      <c r="A105" s="10" t="s">
        <v>795</v>
      </c>
      <c r="B105" s="11" t="s">
        <v>364</v>
      </c>
      <c r="C105" s="11" t="s">
        <v>796</v>
      </c>
      <c r="D105" s="11" t="s">
        <v>797</v>
      </c>
      <c r="E105" s="11" t="s">
        <v>364</v>
      </c>
      <c r="F105" s="11" t="s">
        <v>365</v>
      </c>
      <c r="G105" s="11" t="s">
        <v>798</v>
      </c>
      <c r="H105" s="11" t="s">
        <v>799</v>
      </c>
      <c r="I105" s="11" t="s">
        <v>635</v>
      </c>
      <c r="J105" s="11" t="s">
        <v>369</v>
      </c>
      <c r="K105" s="11" t="s">
        <v>800</v>
      </c>
      <c r="L105" s="11" t="s">
        <v>801</v>
      </c>
      <c r="M105" s="9" t="s">
        <v>43</v>
      </c>
    </row>
    <row r="106" customFormat="false" ht="21.75" hidden="false" customHeight="true" outlineLevel="0" collapsed="false">
      <c r="A106" s="7" t="s">
        <v>802</v>
      </c>
      <c r="B106" s="8" t="s">
        <v>364</v>
      </c>
      <c r="C106" s="8" t="s">
        <v>796</v>
      </c>
      <c r="D106" s="8" t="s">
        <v>803</v>
      </c>
      <c r="E106" s="8" t="s">
        <v>364</v>
      </c>
      <c r="F106" s="8" t="s">
        <v>804</v>
      </c>
      <c r="G106" s="8" t="s">
        <v>805</v>
      </c>
      <c r="H106" s="8" t="s">
        <v>642</v>
      </c>
      <c r="I106" s="8" t="s">
        <v>635</v>
      </c>
      <c r="J106" s="8" t="s">
        <v>606</v>
      </c>
      <c r="K106" s="8" t="s">
        <v>806</v>
      </c>
      <c r="L106" s="8" t="s">
        <v>807</v>
      </c>
      <c r="M106" s="9" t="s">
        <v>43</v>
      </c>
    </row>
    <row r="107" customFormat="false" ht="21.75" hidden="false" customHeight="true" outlineLevel="0" collapsed="false">
      <c r="A107" s="10" t="s">
        <v>808</v>
      </c>
      <c r="B107" s="11" t="s">
        <v>364</v>
      </c>
      <c r="C107" s="11" t="s">
        <v>796</v>
      </c>
      <c r="D107" s="11" t="s">
        <v>809</v>
      </c>
      <c r="E107" s="11" t="s">
        <v>364</v>
      </c>
      <c r="F107" s="11" t="s">
        <v>804</v>
      </c>
      <c r="G107" s="11" t="s">
        <v>810</v>
      </c>
      <c r="H107" s="11" t="s">
        <v>811</v>
      </c>
      <c r="I107" s="11" t="s">
        <v>664</v>
      </c>
      <c r="J107" s="11" t="s">
        <v>606</v>
      </c>
      <c r="K107" s="11" t="s">
        <v>812</v>
      </c>
      <c r="L107" s="11" t="s">
        <v>813</v>
      </c>
      <c r="M107" s="9" t="s">
        <v>43</v>
      </c>
    </row>
    <row r="108" customFormat="false" ht="21.75" hidden="false" customHeight="true" outlineLevel="0" collapsed="false">
      <c r="A108" s="7" t="s">
        <v>814</v>
      </c>
      <c r="B108" s="8" t="s">
        <v>364</v>
      </c>
      <c r="C108" s="8" t="s">
        <v>796</v>
      </c>
      <c r="D108" s="8" t="s">
        <v>815</v>
      </c>
      <c r="E108" s="8" t="s">
        <v>364</v>
      </c>
      <c r="F108" s="8" t="s">
        <v>804</v>
      </c>
      <c r="G108" s="8" t="s">
        <v>816</v>
      </c>
      <c r="H108" s="8" t="s">
        <v>817</v>
      </c>
      <c r="I108" s="8" t="s">
        <v>635</v>
      </c>
      <c r="J108" s="8" t="s">
        <v>678</v>
      </c>
      <c r="K108" s="8" t="s">
        <v>818</v>
      </c>
      <c r="L108" s="8" t="s">
        <v>819</v>
      </c>
      <c r="M108" s="9" t="s">
        <v>43</v>
      </c>
    </row>
    <row r="109" customFormat="false" ht="21.75" hidden="false" customHeight="true" outlineLevel="0" collapsed="false">
      <c r="A109" s="10" t="s">
        <v>820</v>
      </c>
      <c r="B109" s="11" t="s">
        <v>364</v>
      </c>
      <c r="C109" s="11" t="s">
        <v>796</v>
      </c>
      <c r="D109" s="11" t="s">
        <v>821</v>
      </c>
      <c r="E109" s="11" t="s">
        <v>364</v>
      </c>
      <c r="F109" s="11" t="s">
        <v>804</v>
      </c>
      <c r="G109" s="11" t="s">
        <v>822</v>
      </c>
      <c r="H109" s="11" t="s">
        <v>823</v>
      </c>
      <c r="I109" s="11" t="s">
        <v>824</v>
      </c>
      <c r="J109" s="11" t="s">
        <v>369</v>
      </c>
      <c r="K109" s="11" t="s">
        <v>825</v>
      </c>
      <c r="L109" s="11" t="s">
        <v>826</v>
      </c>
      <c r="M109" s="12" t="s">
        <v>59</v>
      </c>
    </row>
    <row r="110" customFormat="false" ht="21.75" hidden="false" customHeight="true" outlineLevel="0" collapsed="false">
      <c r="A110" s="7" t="s">
        <v>827</v>
      </c>
      <c r="B110" s="8" t="s">
        <v>364</v>
      </c>
      <c r="C110" s="8" t="s">
        <v>796</v>
      </c>
      <c r="D110" s="8" t="s">
        <v>828</v>
      </c>
      <c r="E110" s="8" t="s">
        <v>364</v>
      </c>
      <c r="F110" s="8" t="s">
        <v>829</v>
      </c>
      <c r="G110" s="8" t="s">
        <v>830</v>
      </c>
      <c r="H110" s="8" t="s">
        <v>831</v>
      </c>
      <c r="I110" s="8" t="s">
        <v>832</v>
      </c>
      <c r="J110" s="8" t="s">
        <v>369</v>
      </c>
      <c r="K110" s="8" t="s">
        <v>833</v>
      </c>
      <c r="L110" s="8" t="s">
        <v>834</v>
      </c>
      <c r="M110" s="9" t="s">
        <v>43</v>
      </c>
    </row>
    <row r="111" customFormat="false" ht="21.75" hidden="false" customHeight="true" outlineLevel="0" collapsed="false">
      <c r="A111" s="10" t="s">
        <v>835</v>
      </c>
      <c r="B111" s="11" t="s">
        <v>364</v>
      </c>
      <c r="C111" s="11" t="s">
        <v>836</v>
      </c>
      <c r="D111" s="11" t="s">
        <v>837</v>
      </c>
      <c r="E111" s="11" t="s">
        <v>364</v>
      </c>
      <c r="F111" s="11" t="s">
        <v>206</v>
      </c>
      <c r="G111" s="11" t="s">
        <v>838</v>
      </c>
      <c r="H111" s="11" t="s">
        <v>839</v>
      </c>
      <c r="I111" s="11" t="s">
        <v>840</v>
      </c>
      <c r="J111" s="11" t="s">
        <v>369</v>
      </c>
      <c r="K111" s="11" t="s">
        <v>841</v>
      </c>
      <c r="L111" s="11" t="s">
        <v>842</v>
      </c>
      <c r="M111" s="9" t="s">
        <v>43</v>
      </c>
    </row>
    <row r="112" customFormat="false" ht="21.75" hidden="false" customHeight="true" outlineLevel="0" collapsed="false">
      <c r="A112" s="7" t="s">
        <v>843</v>
      </c>
      <c r="B112" s="8" t="s">
        <v>364</v>
      </c>
      <c r="C112" s="8" t="s">
        <v>836</v>
      </c>
      <c r="D112" s="8" t="s">
        <v>844</v>
      </c>
      <c r="E112" s="8" t="s">
        <v>364</v>
      </c>
      <c r="F112" s="8" t="s">
        <v>206</v>
      </c>
      <c r="G112" s="8" t="s">
        <v>845</v>
      </c>
      <c r="H112" s="8" t="s">
        <v>846</v>
      </c>
      <c r="I112" s="8" t="s">
        <v>840</v>
      </c>
      <c r="J112" s="8" t="s">
        <v>369</v>
      </c>
      <c r="K112" s="8" t="s">
        <v>847</v>
      </c>
      <c r="L112" s="8" t="s">
        <v>848</v>
      </c>
      <c r="M112" s="12" t="s">
        <v>59</v>
      </c>
    </row>
    <row r="113" customFormat="false" ht="21.75" hidden="false" customHeight="true" outlineLevel="0" collapsed="false">
      <c r="A113" s="10" t="s">
        <v>849</v>
      </c>
      <c r="B113" s="11" t="s">
        <v>364</v>
      </c>
      <c r="C113" s="11" t="s">
        <v>836</v>
      </c>
      <c r="D113" s="11" t="s">
        <v>850</v>
      </c>
      <c r="E113" s="11" t="s">
        <v>364</v>
      </c>
      <c r="F113" s="11" t="s">
        <v>804</v>
      </c>
      <c r="G113" s="11" t="s">
        <v>851</v>
      </c>
      <c r="H113" s="11" t="s">
        <v>852</v>
      </c>
      <c r="I113" s="11" t="s">
        <v>635</v>
      </c>
      <c r="J113" s="11" t="s">
        <v>369</v>
      </c>
      <c r="K113" s="11" t="s">
        <v>853</v>
      </c>
      <c r="L113" s="11" t="s">
        <v>854</v>
      </c>
      <c r="M113" s="9" t="s">
        <v>43</v>
      </c>
    </row>
    <row r="114" customFormat="false" ht="21.75" hidden="false" customHeight="true" outlineLevel="0" collapsed="false">
      <c r="A114" s="7" t="s">
        <v>855</v>
      </c>
      <c r="B114" s="8" t="s">
        <v>364</v>
      </c>
      <c r="C114" s="8" t="s">
        <v>836</v>
      </c>
      <c r="D114" s="8" t="s">
        <v>856</v>
      </c>
      <c r="E114" s="8" t="s">
        <v>364</v>
      </c>
      <c r="F114" s="8" t="s">
        <v>804</v>
      </c>
      <c r="G114" s="8" t="s">
        <v>857</v>
      </c>
      <c r="H114" s="8" t="s">
        <v>858</v>
      </c>
      <c r="I114" s="8" t="s">
        <v>859</v>
      </c>
      <c r="J114" s="8" t="s">
        <v>369</v>
      </c>
      <c r="K114" s="8" t="s">
        <v>860</v>
      </c>
      <c r="L114" s="8" t="s">
        <v>861</v>
      </c>
      <c r="M114" s="12" t="s">
        <v>59</v>
      </c>
    </row>
    <row r="115" customFormat="false" ht="21.75" hidden="false" customHeight="true" outlineLevel="0" collapsed="false">
      <c r="A115" s="10" t="s">
        <v>862</v>
      </c>
      <c r="B115" s="11" t="s">
        <v>364</v>
      </c>
      <c r="C115" s="11" t="s">
        <v>836</v>
      </c>
      <c r="D115" s="11" t="s">
        <v>863</v>
      </c>
      <c r="E115" s="11" t="s">
        <v>364</v>
      </c>
      <c r="F115" s="11" t="s">
        <v>804</v>
      </c>
      <c r="G115" s="11" t="s">
        <v>864</v>
      </c>
      <c r="H115" s="11" t="s">
        <v>865</v>
      </c>
      <c r="I115" s="11" t="s">
        <v>866</v>
      </c>
      <c r="J115" s="11" t="s">
        <v>867</v>
      </c>
      <c r="K115" s="11" t="s">
        <v>868</v>
      </c>
      <c r="L115" s="11" t="s">
        <v>869</v>
      </c>
      <c r="M115" s="9" t="s">
        <v>43</v>
      </c>
    </row>
    <row r="116" customFormat="false" ht="21.75" hidden="false" customHeight="true" outlineLevel="0" collapsed="false">
      <c r="A116" s="7" t="s">
        <v>870</v>
      </c>
      <c r="B116" s="8" t="s">
        <v>364</v>
      </c>
      <c r="C116" s="8" t="s">
        <v>586</v>
      </c>
      <c r="D116" s="8" t="s">
        <v>871</v>
      </c>
      <c r="E116" s="8" t="s">
        <v>364</v>
      </c>
      <c r="F116" s="8" t="s">
        <v>804</v>
      </c>
      <c r="G116" s="8" t="s">
        <v>872</v>
      </c>
      <c r="H116" s="8" t="s">
        <v>873</v>
      </c>
      <c r="I116" s="8" t="s">
        <v>874</v>
      </c>
      <c r="J116" s="8" t="s">
        <v>369</v>
      </c>
      <c r="K116" s="8" t="s">
        <v>875</v>
      </c>
      <c r="L116" s="8" t="s">
        <v>876</v>
      </c>
      <c r="M116" s="9" t="s">
        <v>43</v>
      </c>
    </row>
    <row r="117" customFormat="false" ht="21.75" hidden="false" customHeight="true" outlineLevel="0" collapsed="false">
      <c r="A117" s="10" t="s">
        <v>877</v>
      </c>
      <c r="B117" s="11" t="s">
        <v>364</v>
      </c>
      <c r="C117" s="11" t="s">
        <v>878</v>
      </c>
      <c r="D117" s="11" t="s">
        <v>879</v>
      </c>
      <c r="E117" s="11" t="s">
        <v>364</v>
      </c>
      <c r="F117" s="11" t="s">
        <v>158</v>
      </c>
      <c r="G117" s="11" t="s">
        <v>880</v>
      </c>
      <c r="H117" s="11" t="s">
        <v>881</v>
      </c>
      <c r="I117" s="11" t="s">
        <v>878</v>
      </c>
      <c r="J117" s="11" t="s">
        <v>162</v>
      </c>
      <c r="K117" s="11" t="s">
        <v>882</v>
      </c>
      <c r="L117" s="11" t="s">
        <v>883</v>
      </c>
      <c r="M117" s="9" t="s">
        <v>43</v>
      </c>
    </row>
    <row r="118" customFormat="false" ht="21.75" hidden="false" customHeight="true" outlineLevel="0" collapsed="false">
      <c r="A118" s="7" t="s">
        <v>884</v>
      </c>
      <c r="B118" s="8" t="s">
        <v>364</v>
      </c>
      <c r="C118" s="8" t="s">
        <v>878</v>
      </c>
      <c r="D118" s="8" t="s">
        <v>885</v>
      </c>
      <c r="E118" s="8" t="s">
        <v>364</v>
      </c>
      <c r="F118" s="8" t="s">
        <v>158</v>
      </c>
      <c r="G118" s="8" t="s">
        <v>886</v>
      </c>
      <c r="H118" s="8" t="s">
        <v>887</v>
      </c>
      <c r="I118" s="8" t="s">
        <v>878</v>
      </c>
      <c r="J118" s="8" t="s">
        <v>49</v>
      </c>
      <c r="K118" s="8" t="s">
        <v>888</v>
      </c>
      <c r="L118" s="8" t="s">
        <v>889</v>
      </c>
      <c r="M118" s="12" t="s">
        <v>59</v>
      </c>
    </row>
    <row r="119" customFormat="false" ht="21.75" hidden="false" customHeight="true" outlineLevel="0" collapsed="false">
      <c r="A119" s="10" t="s">
        <v>890</v>
      </c>
      <c r="B119" s="11" t="s">
        <v>364</v>
      </c>
      <c r="C119" s="11" t="s">
        <v>878</v>
      </c>
      <c r="D119" s="11" t="s">
        <v>891</v>
      </c>
      <c r="E119" s="11" t="s">
        <v>364</v>
      </c>
      <c r="F119" s="11" t="s">
        <v>158</v>
      </c>
      <c r="G119" s="11" t="s">
        <v>892</v>
      </c>
      <c r="H119" s="11" t="s">
        <v>893</v>
      </c>
      <c r="I119" s="11" t="s">
        <v>878</v>
      </c>
      <c r="J119" s="11" t="s">
        <v>162</v>
      </c>
      <c r="K119" s="11" t="s">
        <v>894</v>
      </c>
      <c r="L119" s="11" t="s">
        <v>895</v>
      </c>
      <c r="M119" s="12" t="s">
        <v>59</v>
      </c>
    </row>
    <row r="120" customFormat="false" ht="21.75" hidden="false" customHeight="true" outlineLevel="0" collapsed="false">
      <c r="A120" s="7" t="s">
        <v>896</v>
      </c>
      <c r="B120" s="8" t="s">
        <v>364</v>
      </c>
      <c r="C120" s="8" t="s">
        <v>897</v>
      </c>
      <c r="D120" s="8" t="s">
        <v>898</v>
      </c>
      <c r="E120" s="8" t="s">
        <v>364</v>
      </c>
      <c r="F120" s="8" t="s">
        <v>899</v>
      </c>
      <c r="G120" s="8" t="s">
        <v>900</v>
      </c>
      <c r="H120" s="8" t="s">
        <v>901</v>
      </c>
      <c r="I120" s="8" t="s">
        <v>902</v>
      </c>
      <c r="J120" s="8" t="s">
        <v>369</v>
      </c>
      <c r="K120" s="8" t="s">
        <v>903</v>
      </c>
      <c r="L120" s="8" t="s">
        <v>904</v>
      </c>
      <c r="M120" s="12" t="s">
        <v>59</v>
      </c>
    </row>
    <row r="121" customFormat="false" ht="21.75" hidden="false" customHeight="true" outlineLevel="0" collapsed="false">
      <c r="A121" s="10" t="s">
        <v>905</v>
      </c>
      <c r="B121" s="11" t="s">
        <v>364</v>
      </c>
      <c r="C121" s="11" t="s">
        <v>897</v>
      </c>
      <c r="D121" s="11" t="s">
        <v>906</v>
      </c>
      <c r="E121" s="11" t="s">
        <v>364</v>
      </c>
      <c r="F121" s="11" t="s">
        <v>158</v>
      </c>
      <c r="G121" s="11" t="s">
        <v>907</v>
      </c>
      <c r="H121" s="11" t="s">
        <v>908</v>
      </c>
      <c r="I121" s="11" t="s">
        <v>909</v>
      </c>
      <c r="J121" s="11" t="s">
        <v>910</v>
      </c>
      <c r="K121" s="11" t="s">
        <v>911</v>
      </c>
      <c r="L121" s="11" t="s">
        <v>912</v>
      </c>
      <c r="M121" s="12" t="s">
        <v>59</v>
      </c>
    </row>
    <row r="122" customFormat="false" ht="21.75" hidden="false" customHeight="true" outlineLevel="0" collapsed="false">
      <c r="A122" s="7" t="s">
        <v>913</v>
      </c>
      <c r="B122" s="8" t="s">
        <v>364</v>
      </c>
      <c r="C122" s="8" t="s">
        <v>914</v>
      </c>
      <c r="D122" s="8" t="s">
        <v>915</v>
      </c>
      <c r="E122" s="8" t="s">
        <v>364</v>
      </c>
      <c r="F122" s="8" t="s">
        <v>158</v>
      </c>
      <c r="G122" s="8" t="s">
        <v>916</v>
      </c>
      <c r="H122" s="8" t="s">
        <v>917</v>
      </c>
      <c r="I122" s="8" t="s">
        <v>918</v>
      </c>
      <c r="J122" s="8" t="s">
        <v>49</v>
      </c>
      <c r="K122" s="8" t="s">
        <v>919</v>
      </c>
      <c r="L122" s="8" t="s">
        <v>920</v>
      </c>
      <c r="M122" s="9" t="s">
        <v>43</v>
      </c>
    </row>
    <row r="123" customFormat="false" ht="21.75" hidden="false" customHeight="true" outlineLevel="0" collapsed="false">
      <c r="A123" s="10" t="s">
        <v>921</v>
      </c>
      <c r="B123" s="11" t="s">
        <v>364</v>
      </c>
      <c r="C123" s="11" t="s">
        <v>914</v>
      </c>
      <c r="D123" s="11" t="s">
        <v>922</v>
      </c>
      <c r="E123" s="11" t="s">
        <v>364</v>
      </c>
      <c r="F123" s="11" t="s">
        <v>158</v>
      </c>
      <c r="G123" s="11" t="s">
        <v>923</v>
      </c>
      <c r="H123" s="11" t="s">
        <v>924</v>
      </c>
      <c r="I123" s="11" t="s">
        <v>925</v>
      </c>
      <c r="J123" s="11" t="s">
        <v>162</v>
      </c>
      <c r="K123" s="11" t="s">
        <v>926</v>
      </c>
      <c r="L123" s="11" t="s">
        <v>927</v>
      </c>
      <c r="M123" s="12" t="s">
        <v>59</v>
      </c>
    </row>
    <row r="124" customFormat="false" ht="21.75" hidden="false" customHeight="true" outlineLevel="0" collapsed="false">
      <c r="A124" s="7" t="s">
        <v>928</v>
      </c>
      <c r="B124" s="8" t="s">
        <v>364</v>
      </c>
      <c r="C124" s="8" t="s">
        <v>914</v>
      </c>
      <c r="D124" s="8" t="s">
        <v>929</v>
      </c>
      <c r="E124" s="8" t="s">
        <v>364</v>
      </c>
      <c r="F124" s="8" t="s">
        <v>158</v>
      </c>
      <c r="G124" s="8" t="s">
        <v>930</v>
      </c>
      <c r="H124" s="8" t="s">
        <v>931</v>
      </c>
      <c r="I124" s="8" t="s">
        <v>925</v>
      </c>
      <c r="J124" s="8" t="s">
        <v>162</v>
      </c>
      <c r="K124" s="8" t="s">
        <v>932</v>
      </c>
      <c r="L124" s="8" t="s">
        <v>933</v>
      </c>
      <c r="M124" s="12" t="s">
        <v>59</v>
      </c>
    </row>
    <row r="125" customFormat="false" ht="21.75" hidden="false" customHeight="true" outlineLevel="0" collapsed="false">
      <c r="A125" s="10" t="s">
        <v>934</v>
      </c>
      <c r="B125" s="11" t="s">
        <v>364</v>
      </c>
      <c r="C125" s="11" t="s">
        <v>203</v>
      </c>
      <c r="D125" s="11" t="s">
        <v>935</v>
      </c>
      <c r="E125" s="11" t="s">
        <v>364</v>
      </c>
      <c r="F125" s="11" t="s">
        <v>158</v>
      </c>
      <c r="G125" s="11" t="s">
        <v>936</v>
      </c>
      <c r="H125" s="11" t="s">
        <v>937</v>
      </c>
      <c r="I125" s="11" t="s">
        <v>938</v>
      </c>
      <c r="J125" s="11" t="s">
        <v>162</v>
      </c>
      <c r="K125" s="11" t="s">
        <v>939</v>
      </c>
      <c r="L125" s="11" t="s">
        <v>940</v>
      </c>
      <c r="M125" s="9" t="s">
        <v>43</v>
      </c>
    </row>
    <row r="126" customFormat="false" ht="21.75" hidden="false" customHeight="true" outlineLevel="0" collapsed="false">
      <c r="A126" s="7" t="s">
        <v>941</v>
      </c>
      <c r="B126" s="8" t="s">
        <v>364</v>
      </c>
      <c r="C126" s="8" t="s">
        <v>942</v>
      </c>
      <c r="D126" s="8" t="s">
        <v>943</v>
      </c>
      <c r="E126" s="8" t="s">
        <v>364</v>
      </c>
      <c r="F126" s="8" t="s">
        <v>804</v>
      </c>
      <c r="G126" s="8" t="s">
        <v>944</v>
      </c>
      <c r="H126" s="8" t="s">
        <v>945</v>
      </c>
      <c r="I126" s="8" t="s">
        <v>946</v>
      </c>
      <c r="J126" s="8" t="s">
        <v>369</v>
      </c>
      <c r="K126" s="8" t="s">
        <v>947</v>
      </c>
      <c r="L126" s="8" t="s">
        <v>948</v>
      </c>
      <c r="M126" s="12" t="s">
        <v>59</v>
      </c>
    </row>
    <row r="127" customFormat="false" ht="15" hidden="false" customHeight="true" outlineLevel="0" collapsed="false">
      <c r="A127" s="10" t="s">
        <v>949</v>
      </c>
      <c r="B127" s="11" t="s">
        <v>364</v>
      </c>
      <c r="C127" s="11" t="s">
        <v>942</v>
      </c>
      <c r="D127" s="11" t="s">
        <v>950</v>
      </c>
      <c r="E127" s="11" t="s">
        <v>364</v>
      </c>
      <c r="F127" s="11" t="s">
        <v>804</v>
      </c>
      <c r="G127" s="11" t="s">
        <v>951</v>
      </c>
      <c r="H127" s="11" t="s">
        <v>952</v>
      </c>
      <c r="I127" s="11" t="s">
        <v>953</v>
      </c>
      <c r="J127" s="11" t="s">
        <v>369</v>
      </c>
      <c r="K127" s="11" t="s">
        <v>954</v>
      </c>
      <c r="L127" s="11" t="s">
        <v>955</v>
      </c>
      <c r="M127" s="13" t="s">
        <v>126</v>
      </c>
    </row>
    <row r="128" customFormat="false" ht="21.75" hidden="false" customHeight="true" outlineLevel="0" collapsed="false">
      <c r="A128" s="7" t="s">
        <v>956</v>
      </c>
      <c r="B128" s="8" t="s">
        <v>364</v>
      </c>
      <c r="C128" s="8" t="s">
        <v>957</v>
      </c>
      <c r="D128" s="8" t="s">
        <v>958</v>
      </c>
      <c r="E128" s="8" t="s">
        <v>364</v>
      </c>
      <c r="F128" s="8" t="s">
        <v>365</v>
      </c>
      <c r="G128" s="8" t="s">
        <v>959</v>
      </c>
      <c r="H128" s="8" t="s">
        <v>960</v>
      </c>
      <c r="I128" s="8" t="s">
        <v>961</v>
      </c>
      <c r="J128" s="8" t="s">
        <v>962</v>
      </c>
      <c r="K128" s="8" t="s">
        <v>963</v>
      </c>
      <c r="L128" s="8" t="s">
        <v>964</v>
      </c>
      <c r="M128" s="13" t="s">
        <v>126</v>
      </c>
    </row>
    <row r="129" customFormat="false" ht="21.75" hidden="false" customHeight="true" outlineLevel="0" collapsed="false">
      <c r="A129" s="10" t="s">
        <v>965</v>
      </c>
      <c r="B129" s="11" t="s">
        <v>966</v>
      </c>
      <c r="C129" s="11" t="s">
        <v>967</v>
      </c>
      <c r="D129" s="11" t="s">
        <v>968</v>
      </c>
      <c r="E129" s="11" t="s">
        <v>35</v>
      </c>
      <c r="F129" s="11" t="s">
        <v>150</v>
      </c>
      <c r="G129" s="11" t="s">
        <v>969</v>
      </c>
      <c r="H129" s="11" t="s">
        <v>970</v>
      </c>
      <c r="I129" s="11" t="s">
        <v>971</v>
      </c>
      <c r="J129" s="11" t="s">
        <v>962</v>
      </c>
      <c r="K129" s="11" t="s">
        <v>972</v>
      </c>
      <c r="L129" s="11" t="s">
        <v>973</v>
      </c>
      <c r="M129" s="9" t="s">
        <v>43</v>
      </c>
    </row>
    <row r="130" customFormat="false" ht="21.75" hidden="false" customHeight="true" outlineLevel="0" collapsed="false">
      <c r="A130" s="7" t="s">
        <v>974</v>
      </c>
      <c r="B130" s="8" t="s">
        <v>966</v>
      </c>
      <c r="C130" s="8" t="s">
        <v>967</v>
      </c>
      <c r="D130" s="8" t="s">
        <v>975</v>
      </c>
      <c r="E130" s="8" t="s">
        <v>35</v>
      </c>
      <c r="F130" s="8" t="s">
        <v>158</v>
      </c>
      <c r="G130" s="8" t="s">
        <v>976</v>
      </c>
      <c r="H130" s="8" t="s">
        <v>977</v>
      </c>
      <c r="I130" s="8" t="s">
        <v>909</v>
      </c>
      <c r="J130" s="8" t="s">
        <v>162</v>
      </c>
      <c r="K130" s="8" t="s">
        <v>978</v>
      </c>
      <c r="L130" s="8" t="s">
        <v>979</v>
      </c>
      <c r="M130" s="9" t="s">
        <v>43</v>
      </c>
    </row>
    <row r="131" customFormat="false" ht="21.75" hidden="false" customHeight="true" outlineLevel="0" collapsed="false">
      <c r="A131" s="10" t="s">
        <v>980</v>
      </c>
      <c r="B131" s="11" t="s">
        <v>966</v>
      </c>
      <c r="C131" s="11" t="s">
        <v>981</v>
      </c>
      <c r="D131" s="11" t="s">
        <v>982</v>
      </c>
      <c r="E131" s="11" t="s">
        <v>35</v>
      </c>
      <c r="F131" s="11" t="s">
        <v>36</v>
      </c>
      <c r="G131" s="11" t="s">
        <v>983</v>
      </c>
      <c r="H131" s="11" t="s">
        <v>984</v>
      </c>
      <c r="I131" s="11" t="s">
        <v>985</v>
      </c>
      <c r="J131" s="11" t="s">
        <v>986</v>
      </c>
      <c r="K131" s="11" t="s">
        <v>987</v>
      </c>
      <c r="L131" s="11" t="s">
        <v>988</v>
      </c>
      <c r="M131" s="12" t="s">
        <v>59</v>
      </c>
    </row>
    <row r="132" customFormat="false" ht="21.75" hidden="false" customHeight="true" outlineLevel="0" collapsed="false">
      <c r="A132" s="7" t="s">
        <v>989</v>
      </c>
      <c r="B132" s="8" t="s">
        <v>966</v>
      </c>
      <c r="C132" s="8" t="s">
        <v>981</v>
      </c>
      <c r="D132" s="8" t="s">
        <v>990</v>
      </c>
      <c r="E132" s="8" t="s">
        <v>35</v>
      </c>
      <c r="F132" s="8" t="s">
        <v>36</v>
      </c>
      <c r="G132" s="8" t="s">
        <v>991</v>
      </c>
      <c r="H132" s="8" t="s">
        <v>992</v>
      </c>
      <c r="I132" s="8" t="s">
        <v>993</v>
      </c>
      <c r="J132" s="8" t="s">
        <v>217</v>
      </c>
      <c r="K132" s="8" t="s">
        <v>994</v>
      </c>
      <c r="L132" s="8" t="s">
        <v>995</v>
      </c>
      <c r="M132" s="12" t="s">
        <v>59</v>
      </c>
    </row>
    <row r="133" customFormat="false" ht="21.75" hidden="false" customHeight="true" outlineLevel="0" collapsed="false">
      <c r="A133" s="10" t="s">
        <v>996</v>
      </c>
      <c r="B133" s="11" t="s">
        <v>966</v>
      </c>
      <c r="C133" s="11" t="s">
        <v>997</v>
      </c>
      <c r="D133" s="11" t="s">
        <v>998</v>
      </c>
      <c r="E133" s="11" t="s">
        <v>35</v>
      </c>
      <c r="F133" s="11" t="s">
        <v>999</v>
      </c>
      <c r="G133" s="11" t="s">
        <v>1000</v>
      </c>
      <c r="H133" s="11" t="s">
        <v>1001</v>
      </c>
      <c r="I133" s="11" t="s">
        <v>1002</v>
      </c>
      <c r="J133" s="11" t="s">
        <v>1003</v>
      </c>
      <c r="K133" s="11" t="s">
        <v>1004</v>
      </c>
      <c r="L133" s="11" t="s">
        <v>1005</v>
      </c>
      <c r="M133" s="9" t="s">
        <v>43</v>
      </c>
    </row>
    <row r="134" customFormat="false" ht="15" hidden="false" customHeight="true" outlineLevel="0" collapsed="false">
      <c r="A134" s="7" t="s">
        <v>1006</v>
      </c>
      <c r="B134" s="8" t="s">
        <v>966</v>
      </c>
      <c r="C134" s="8" t="s">
        <v>997</v>
      </c>
      <c r="D134" s="8" t="s">
        <v>1007</v>
      </c>
      <c r="E134" s="8" t="s">
        <v>35</v>
      </c>
      <c r="F134" s="8" t="s">
        <v>1008</v>
      </c>
      <c r="G134" s="8" t="s">
        <v>1009</v>
      </c>
      <c r="H134" s="8" t="s">
        <v>1010</v>
      </c>
      <c r="I134" s="8" t="s">
        <v>1011</v>
      </c>
      <c r="J134" s="8" t="s">
        <v>962</v>
      </c>
      <c r="K134" s="8" t="s">
        <v>1012</v>
      </c>
      <c r="L134" s="8" t="s">
        <v>1013</v>
      </c>
      <c r="M134" s="12" t="s">
        <v>59</v>
      </c>
    </row>
    <row r="135" customFormat="false" ht="21.75" hidden="false" customHeight="true" outlineLevel="0" collapsed="false">
      <c r="A135" s="10" t="s">
        <v>1014</v>
      </c>
      <c r="B135" s="11" t="s">
        <v>966</v>
      </c>
      <c r="C135" s="11" t="s">
        <v>1015</v>
      </c>
      <c r="D135" s="11" t="s">
        <v>1016</v>
      </c>
      <c r="E135" s="11" t="s">
        <v>35</v>
      </c>
      <c r="F135" s="11" t="s">
        <v>999</v>
      </c>
      <c r="G135" s="11" t="s">
        <v>1017</v>
      </c>
      <c r="H135" s="11" t="s">
        <v>1018</v>
      </c>
      <c r="I135" s="11" t="s">
        <v>1019</v>
      </c>
      <c r="J135" s="11" t="s">
        <v>1020</v>
      </c>
      <c r="K135" s="11" t="s">
        <v>1021</v>
      </c>
      <c r="L135" s="11" t="s">
        <v>1022</v>
      </c>
      <c r="M135" s="12" t="s">
        <v>59</v>
      </c>
    </row>
    <row r="136" customFormat="false" ht="21.75" hidden="false" customHeight="true" outlineLevel="0" collapsed="false">
      <c r="A136" s="7" t="s">
        <v>1023</v>
      </c>
      <c r="B136" s="8" t="s">
        <v>966</v>
      </c>
      <c r="C136" s="8" t="s">
        <v>1024</v>
      </c>
      <c r="D136" s="8" t="s">
        <v>1025</v>
      </c>
      <c r="E136" s="8" t="s">
        <v>35</v>
      </c>
      <c r="F136" s="8" t="s">
        <v>158</v>
      </c>
      <c r="G136" s="8" t="s">
        <v>1026</v>
      </c>
      <c r="H136" s="8" t="s">
        <v>1027</v>
      </c>
      <c r="I136" s="8" t="s">
        <v>1028</v>
      </c>
      <c r="J136" s="8" t="s">
        <v>162</v>
      </c>
      <c r="K136" s="8" t="s">
        <v>1029</v>
      </c>
      <c r="L136" s="8" t="s">
        <v>1030</v>
      </c>
      <c r="M136" s="12" t="s">
        <v>59</v>
      </c>
    </row>
    <row r="137" customFormat="false" ht="21.75" hidden="false" customHeight="true" outlineLevel="0" collapsed="false">
      <c r="A137" s="10" t="s">
        <v>1031</v>
      </c>
      <c r="B137" s="11" t="s">
        <v>966</v>
      </c>
      <c r="C137" s="11" t="s">
        <v>158</v>
      </c>
      <c r="D137" s="11" t="s">
        <v>1032</v>
      </c>
      <c r="E137" s="11" t="s">
        <v>35</v>
      </c>
      <c r="F137" s="11" t="s">
        <v>158</v>
      </c>
      <c r="G137" s="11" t="s">
        <v>1033</v>
      </c>
      <c r="H137" s="11" t="s">
        <v>1034</v>
      </c>
      <c r="I137" s="11" t="s">
        <v>1035</v>
      </c>
      <c r="J137" s="11" t="s">
        <v>986</v>
      </c>
      <c r="K137" s="11" t="s">
        <v>1036</v>
      </c>
      <c r="L137" s="11" t="s">
        <v>1037</v>
      </c>
      <c r="M137" s="9" t="s">
        <v>43</v>
      </c>
    </row>
    <row r="138" customFormat="false" ht="21.75" hidden="false" customHeight="true" outlineLevel="0" collapsed="false">
      <c r="A138" s="7" t="s">
        <v>1038</v>
      </c>
      <c r="B138" s="8" t="s">
        <v>966</v>
      </c>
      <c r="C138" s="8" t="s">
        <v>158</v>
      </c>
      <c r="D138" s="8" t="s">
        <v>1039</v>
      </c>
      <c r="E138" s="8" t="s">
        <v>35</v>
      </c>
      <c r="F138" s="8" t="s">
        <v>158</v>
      </c>
      <c r="G138" s="8" t="s">
        <v>1040</v>
      </c>
      <c r="H138" s="8" t="s">
        <v>1041</v>
      </c>
      <c r="I138" s="8" t="s">
        <v>1042</v>
      </c>
      <c r="J138" s="8" t="s">
        <v>986</v>
      </c>
      <c r="K138" s="8" t="s">
        <v>1043</v>
      </c>
      <c r="L138" s="8" t="s">
        <v>1044</v>
      </c>
      <c r="M138" s="12" t="s">
        <v>59</v>
      </c>
    </row>
    <row r="139" customFormat="false" ht="21.75" hidden="false" customHeight="true" outlineLevel="0" collapsed="false">
      <c r="A139" s="10" t="s">
        <v>1045</v>
      </c>
      <c r="B139" s="11" t="s">
        <v>966</v>
      </c>
      <c r="C139" s="11" t="s">
        <v>158</v>
      </c>
      <c r="D139" s="11" t="s">
        <v>1046</v>
      </c>
      <c r="E139" s="11" t="s">
        <v>35</v>
      </c>
      <c r="F139" s="11" t="s">
        <v>158</v>
      </c>
      <c r="G139" s="11" t="s">
        <v>1047</v>
      </c>
      <c r="H139" s="11" t="s">
        <v>1048</v>
      </c>
      <c r="I139" s="11" t="s">
        <v>1049</v>
      </c>
      <c r="J139" s="11" t="s">
        <v>962</v>
      </c>
      <c r="K139" s="11" t="s">
        <v>1050</v>
      </c>
      <c r="L139" s="11" t="s">
        <v>1051</v>
      </c>
      <c r="M139" s="12" t="s">
        <v>59</v>
      </c>
    </row>
    <row r="140" customFormat="false" ht="15" hidden="false" customHeight="true" outlineLevel="0" collapsed="false">
      <c r="A140" s="7" t="s">
        <v>1052</v>
      </c>
      <c r="B140" s="8" t="s">
        <v>1053</v>
      </c>
      <c r="C140" s="8" t="s">
        <v>304</v>
      </c>
      <c r="D140" s="8" t="s">
        <v>1054</v>
      </c>
      <c r="E140" s="8" t="s">
        <v>35</v>
      </c>
      <c r="F140" s="8" t="s">
        <v>158</v>
      </c>
      <c r="G140" s="8" t="s">
        <v>1055</v>
      </c>
      <c r="H140" s="8" t="s">
        <v>1056</v>
      </c>
      <c r="I140" s="8" t="s">
        <v>1057</v>
      </c>
      <c r="J140" s="8" t="s">
        <v>49</v>
      </c>
      <c r="K140" s="8" t="s">
        <v>1058</v>
      </c>
      <c r="L140" s="8" t="s">
        <v>1059</v>
      </c>
      <c r="M140" s="9" t="s">
        <v>43</v>
      </c>
    </row>
    <row r="141" customFormat="false" ht="21.75" hidden="false" customHeight="true" outlineLevel="0" collapsed="false">
      <c r="A141" s="10" t="s">
        <v>1060</v>
      </c>
      <c r="B141" s="11" t="s">
        <v>1053</v>
      </c>
      <c r="C141" s="11" t="s">
        <v>304</v>
      </c>
      <c r="D141" s="11" t="s">
        <v>1061</v>
      </c>
      <c r="E141" s="11" t="s">
        <v>35</v>
      </c>
      <c r="F141" s="11" t="s">
        <v>158</v>
      </c>
      <c r="G141" s="11" t="s">
        <v>1062</v>
      </c>
      <c r="H141" s="11" t="s">
        <v>1063</v>
      </c>
      <c r="I141" s="11" t="s">
        <v>1057</v>
      </c>
      <c r="J141" s="11" t="s">
        <v>49</v>
      </c>
      <c r="K141" s="11" t="s">
        <v>1064</v>
      </c>
      <c r="L141" s="11" t="s">
        <v>1065</v>
      </c>
      <c r="M141" s="9" t="s">
        <v>43</v>
      </c>
    </row>
    <row r="142" customFormat="false" ht="21.75" hidden="false" customHeight="true" outlineLevel="0" collapsed="false">
      <c r="A142" s="7" t="s">
        <v>1066</v>
      </c>
      <c r="B142" s="8" t="s">
        <v>1053</v>
      </c>
      <c r="C142" s="8" t="s">
        <v>304</v>
      </c>
      <c r="D142" s="8" t="s">
        <v>1067</v>
      </c>
      <c r="E142" s="8" t="s">
        <v>35</v>
      </c>
      <c r="F142" s="8" t="s">
        <v>158</v>
      </c>
      <c r="G142" s="8" t="s">
        <v>1068</v>
      </c>
      <c r="H142" s="8" t="s">
        <v>1069</v>
      </c>
      <c r="I142" s="8" t="s">
        <v>1070</v>
      </c>
      <c r="J142" s="8" t="s">
        <v>49</v>
      </c>
      <c r="K142" s="8" t="s">
        <v>1071</v>
      </c>
      <c r="L142" s="8" t="s">
        <v>1072</v>
      </c>
      <c r="M142" s="9" t="s">
        <v>43</v>
      </c>
    </row>
    <row r="143" customFormat="false" ht="21.75" hidden="false" customHeight="true" outlineLevel="0" collapsed="false">
      <c r="A143" s="10" t="s">
        <v>1073</v>
      </c>
      <c r="B143" s="11" t="s">
        <v>1053</v>
      </c>
      <c r="C143" s="11" t="s">
        <v>1074</v>
      </c>
      <c r="D143" s="11" t="s">
        <v>1075</v>
      </c>
      <c r="E143" s="11" t="s">
        <v>35</v>
      </c>
      <c r="F143" s="11" t="s">
        <v>158</v>
      </c>
      <c r="G143" s="11" t="s">
        <v>1076</v>
      </c>
      <c r="H143" s="11" t="s">
        <v>1077</v>
      </c>
      <c r="I143" s="11" t="s">
        <v>1078</v>
      </c>
      <c r="J143" s="11" t="s">
        <v>49</v>
      </c>
      <c r="K143" s="11" t="s">
        <v>1079</v>
      </c>
      <c r="L143" s="11" t="s">
        <v>1080</v>
      </c>
      <c r="M143" s="9" t="s">
        <v>43</v>
      </c>
    </row>
    <row r="144" customFormat="false" ht="21.75" hidden="false" customHeight="true" outlineLevel="0" collapsed="false">
      <c r="A144" s="7" t="s">
        <v>1081</v>
      </c>
      <c r="B144" s="8" t="s">
        <v>1053</v>
      </c>
      <c r="C144" s="8" t="s">
        <v>1074</v>
      </c>
      <c r="D144" s="8" t="s">
        <v>1082</v>
      </c>
      <c r="E144" s="8" t="s">
        <v>35</v>
      </c>
      <c r="F144" s="8" t="s">
        <v>158</v>
      </c>
      <c r="G144" s="8" t="s">
        <v>1083</v>
      </c>
      <c r="H144" s="8" t="s">
        <v>1084</v>
      </c>
      <c r="I144" s="8" t="s">
        <v>1085</v>
      </c>
      <c r="J144" s="8" t="s">
        <v>49</v>
      </c>
      <c r="K144" s="8" t="s">
        <v>1086</v>
      </c>
      <c r="L144" s="8" t="s">
        <v>1087</v>
      </c>
      <c r="M144" s="9" t="s">
        <v>43</v>
      </c>
    </row>
    <row r="145" customFormat="false" ht="21.75" hidden="false" customHeight="true" outlineLevel="0" collapsed="false">
      <c r="A145" s="10" t="s">
        <v>1088</v>
      </c>
      <c r="B145" s="11" t="s">
        <v>1053</v>
      </c>
      <c r="C145" s="11" t="s">
        <v>1089</v>
      </c>
      <c r="D145" s="11" t="s">
        <v>1090</v>
      </c>
      <c r="E145" s="11" t="s">
        <v>35</v>
      </c>
      <c r="F145" s="11" t="s">
        <v>158</v>
      </c>
      <c r="G145" s="11" t="s">
        <v>1091</v>
      </c>
      <c r="H145" s="11" t="s">
        <v>1092</v>
      </c>
      <c r="I145" s="11" t="s">
        <v>492</v>
      </c>
      <c r="J145" s="11" t="s">
        <v>49</v>
      </c>
      <c r="K145" s="11" t="s">
        <v>1093</v>
      </c>
      <c r="L145" s="11" t="s">
        <v>1094</v>
      </c>
      <c r="M145" s="9" t="s">
        <v>43</v>
      </c>
    </row>
    <row r="146" customFormat="false" ht="21.75" hidden="false" customHeight="true" outlineLevel="0" collapsed="false">
      <c r="A146" s="7" t="s">
        <v>1095</v>
      </c>
      <c r="B146" s="8" t="s">
        <v>1053</v>
      </c>
      <c r="C146" s="8" t="s">
        <v>1089</v>
      </c>
      <c r="D146" s="8" t="s">
        <v>1096</v>
      </c>
      <c r="E146" s="8" t="s">
        <v>35</v>
      </c>
      <c r="F146" s="8" t="s">
        <v>158</v>
      </c>
      <c r="G146" s="8" t="s">
        <v>1097</v>
      </c>
      <c r="H146" s="8" t="s">
        <v>1098</v>
      </c>
      <c r="I146" s="8" t="s">
        <v>492</v>
      </c>
      <c r="J146" s="8" t="s">
        <v>49</v>
      </c>
      <c r="K146" s="8" t="s">
        <v>1099</v>
      </c>
      <c r="L146" s="8" t="s">
        <v>1100</v>
      </c>
      <c r="M146" s="9" t="s">
        <v>43</v>
      </c>
    </row>
    <row r="147" customFormat="false" ht="21.75" hidden="false" customHeight="true" outlineLevel="0" collapsed="false">
      <c r="A147" s="10" t="s">
        <v>1101</v>
      </c>
      <c r="B147" s="11" t="s">
        <v>1053</v>
      </c>
      <c r="C147" s="11" t="s">
        <v>1102</v>
      </c>
      <c r="D147" s="11" t="s">
        <v>1103</v>
      </c>
      <c r="E147" s="11" t="s">
        <v>35</v>
      </c>
      <c r="F147" s="11" t="s">
        <v>158</v>
      </c>
      <c r="G147" s="11" t="s">
        <v>1104</v>
      </c>
      <c r="H147" s="11" t="s">
        <v>1105</v>
      </c>
      <c r="I147" s="11" t="s">
        <v>1106</v>
      </c>
      <c r="J147" s="11" t="s">
        <v>162</v>
      </c>
      <c r="K147" s="11" t="s">
        <v>1107</v>
      </c>
      <c r="L147" s="11" t="s">
        <v>1108</v>
      </c>
      <c r="M147" s="12" t="s">
        <v>59</v>
      </c>
    </row>
    <row r="148" customFormat="false" ht="15" hidden="false" customHeight="true" outlineLevel="0" collapsed="false">
      <c r="A148" s="7" t="s">
        <v>1109</v>
      </c>
      <c r="B148" s="8" t="s">
        <v>1053</v>
      </c>
      <c r="C148" s="8" t="s">
        <v>148</v>
      </c>
      <c r="D148" s="8" t="s">
        <v>1110</v>
      </c>
      <c r="E148" s="8" t="s">
        <v>35</v>
      </c>
      <c r="F148" s="8" t="s">
        <v>158</v>
      </c>
      <c r="G148" s="8" t="s">
        <v>1111</v>
      </c>
      <c r="H148" s="8" t="s">
        <v>1112</v>
      </c>
      <c r="I148" s="8" t="s">
        <v>1113</v>
      </c>
      <c r="J148" s="8" t="s">
        <v>49</v>
      </c>
      <c r="K148" s="8" t="s">
        <v>1114</v>
      </c>
      <c r="L148" s="8" t="s">
        <v>1115</v>
      </c>
      <c r="M148" s="9" t="s">
        <v>43</v>
      </c>
    </row>
    <row r="149" customFormat="false" ht="21.75" hidden="false" customHeight="true" outlineLevel="0" collapsed="false">
      <c r="A149" s="10" t="s">
        <v>1116</v>
      </c>
      <c r="B149" s="11" t="s">
        <v>1053</v>
      </c>
      <c r="C149" s="11" t="s">
        <v>148</v>
      </c>
      <c r="D149" s="11" t="s">
        <v>1117</v>
      </c>
      <c r="E149" s="11" t="s">
        <v>35</v>
      </c>
      <c r="F149" s="11" t="s">
        <v>158</v>
      </c>
      <c r="G149" s="11" t="s">
        <v>1118</v>
      </c>
      <c r="H149" s="11" t="s">
        <v>1119</v>
      </c>
      <c r="I149" s="11" t="s">
        <v>1120</v>
      </c>
      <c r="J149" s="11" t="s">
        <v>162</v>
      </c>
      <c r="K149" s="11" t="s">
        <v>1121</v>
      </c>
      <c r="L149" s="11" t="s">
        <v>1122</v>
      </c>
      <c r="M149" s="12" t="s">
        <v>59</v>
      </c>
    </row>
    <row r="150" customFormat="false" ht="21.75" hidden="false" customHeight="true" outlineLevel="0" collapsed="false">
      <c r="A150" s="7" t="s">
        <v>1123</v>
      </c>
      <c r="B150" s="8" t="s">
        <v>1053</v>
      </c>
      <c r="C150" s="8" t="s">
        <v>266</v>
      </c>
      <c r="D150" s="8" t="s">
        <v>1124</v>
      </c>
      <c r="E150" s="8" t="s">
        <v>35</v>
      </c>
      <c r="F150" s="8" t="s">
        <v>158</v>
      </c>
      <c r="G150" s="8" t="s">
        <v>1125</v>
      </c>
      <c r="H150" s="8" t="s">
        <v>1126</v>
      </c>
      <c r="I150" s="8" t="s">
        <v>1127</v>
      </c>
      <c r="J150" s="8" t="s">
        <v>162</v>
      </c>
      <c r="K150" s="8" t="s">
        <v>1128</v>
      </c>
      <c r="L150" s="8" t="s">
        <v>1129</v>
      </c>
      <c r="M150" s="12" t="s">
        <v>59</v>
      </c>
    </row>
  </sheetData>
  <autoFilter ref="A1:M1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5" min="2" style="1" width="10"/>
  </cols>
  <sheetData>
    <row r="1" customFormat="false" ht="15.75" hidden="false" customHeight="true" outlineLevel="0" collapsed="false">
      <c r="A1" s="14" t="s">
        <v>1130</v>
      </c>
    </row>
    <row r="3" customFormat="false" ht="15" hidden="false" customHeight="true" outlineLevel="0" collapsed="false">
      <c r="A3" s="15" t="s">
        <v>19</v>
      </c>
      <c r="B3" s="15" t="s">
        <v>43</v>
      </c>
      <c r="C3" s="15" t="s">
        <v>59</v>
      </c>
      <c r="D3" s="15" t="s">
        <v>126</v>
      </c>
      <c r="E3" s="15" t="s">
        <v>1131</v>
      </c>
    </row>
    <row r="4" customFormat="false" ht="15" hidden="false" customHeight="true" outlineLevel="0" collapsed="false">
      <c r="A4" s="16" t="s">
        <v>32</v>
      </c>
      <c r="B4" s="16" t="n">
        <f aca="false">COUNTIFS(Catalogue!$B$2:$B$150,$A4,Catalogue!$M$2:$M$150,"P1")</f>
        <v>16</v>
      </c>
      <c r="C4" s="16" t="n">
        <f aca="false">COUNTIFS(Catalogue!$B$2:$B$150,$A4,Catalogue!$M$2:$M$150,"P2")</f>
        <v>9</v>
      </c>
      <c r="D4" s="16" t="n">
        <f aca="false">COUNTIFS(Catalogue!$B$2:$B$150,$A4,Catalogue!$M$2:$M$150,"P3")</f>
        <v>3</v>
      </c>
      <c r="E4" s="16" t="n">
        <f aca="false">SUM(B4:D4)</f>
        <v>28</v>
      </c>
    </row>
    <row r="5" customFormat="false" ht="15" hidden="false" customHeight="true" outlineLevel="0" collapsed="false">
      <c r="A5" s="16" t="s">
        <v>250</v>
      </c>
      <c r="B5" s="16" t="n">
        <f aca="false">COUNTIFS(Catalogue!$B$2:$B$150,$A5,Catalogue!$M$2:$M$150,"P1")</f>
        <v>8</v>
      </c>
      <c r="C5" s="16" t="n">
        <f aca="false">COUNTIFS(Catalogue!$B$2:$B$150,$A5,Catalogue!$M$2:$M$150,"P2")</f>
        <v>7</v>
      </c>
      <c r="D5" s="16" t="n">
        <f aca="false">COUNTIFS(Catalogue!$B$2:$B$150,$A5,Catalogue!$M$2:$M$150,"P3")</f>
        <v>2</v>
      </c>
      <c r="E5" s="16" t="n">
        <f aca="false">SUM(B5:D5)</f>
        <v>17</v>
      </c>
    </row>
    <row r="6" customFormat="false" ht="15" hidden="false" customHeight="true" outlineLevel="0" collapsed="false">
      <c r="A6" s="16" t="s">
        <v>381</v>
      </c>
      <c r="B6" s="16" t="n">
        <f aca="false">COUNTIFS(Catalogue!$B$2:$B$150,$A6,Catalogue!$M$2:$M$150,"P1")</f>
        <v>9</v>
      </c>
      <c r="C6" s="16" t="n">
        <f aca="false">COUNTIFS(Catalogue!$B$2:$B$150,$A6,Catalogue!$M$2:$M$150,"P2")</f>
        <v>7</v>
      </c>
      <c r="D6" s="16" t="n">
        <f aca="false">COUNTIFS(Catalogue!$B$2:$B$150,$A6,Catalogue!$M$2:$M$150,"P3")</f>
        <v>1</v>
      </c>
      <c r="E6" s="16" t="n">
        <f aca="false">SUM(B6:D6)</f>
        <v>17</v>
      </c>
    </row>
    <row r="7" customFormat="false" ht="15" hidden="false" customHeight="true" outlineLevel="0" collapsed="false">
      <c r="A7" s="16" t="s">
        <v>504</v>
      </c>
      <c r="B7" s="16" t="n">
        <f aca="false">COUNTIFS(Catalogue!$B$2:$B$150,$A7,Catalogue!$M$2:$M$150,"P1")</f>
        <v>11</v>
      </c>
      <c r="C7" s="16" t="n">
        <f aca="false">COUNTIFS(Catalogue!$B$2:$B$150,$A7,Catalogue!$M$2:$M$150,"P2")</f>
        <v>6</v>
      </c>
      <c r="D7" s="16" t="n">
        <f aca="false">COUNTIFS(Catalogue!$B$2:$B$150,$A7,Catalogue!$M$2:$M$150,"P3")</f>
        <v>0</v>
      </c>
      <c r="E7" s="16" t="n">
        <f aca="false">SUM(B7:D7)</f>
        <v>17</v>
      </c>
    </row>
    <row r="8" customFormat="false" ht="15" hidden="false" customHeight="true" outlineLevel="0" collapsed="false">
      <c r="A8" s="16" t="s">
        <v>630</v>
      </c>
      <c r="B8" s="16" t="n">
        <f aca="false">COUNTIFS(Catalogue!$B$2:$B$150,$A8,Catalogue!$M$2:$M$150,"P1")</f>
        <v>9</v>
      </c>
      <c r="C8" s="16" t="n">
        <f aca="false">COUNTIFS(Catalogue!$B$2:$B$150,$A8,Catalogue!$M$2:$M$150,"P2")</f>
        <v>11</v>
      </c>
      <c r="D8" s="16" t="n">
        <f aca="false">COUNTIFS(Catalogue!$B$2:$B$150,$A8,Catalogue!$M$2:$M$150,"P3")</f>
        <v>4</v>
      </c>
      <c r="E8" s="16" t="n">
        <f aca="false">SUM(B8:D8)</f>
        <v>24</v>
      </c>
    </row>
    <row r="9" customFormat="false" ht="15" hidden="false" customHeight="true" outlineLevel="0" collapsed="false">
      <c r="A9" s="16" t="s">
        <v>364</v>
      </c>
      <c r="B9" s="16" t="n">
        <f aca="false">COUNTIFS(Catalogue!$B$2:$B$150,$A9,Catalogue!$M$2:$M$150,"P1")</f>
        <v>12</v>
      </c>
      <c r="C9" s="16" t="n">
        <f aca="false">COUNTIFS(Catalogue!$B$2:$B$150,$A9,Catalogue!$M$2:$M$150,"P2")</f>
        <v>10</v>
      </c>
      <c r="D9" s="16" t="n">
        <f aca="false">COUNTIFS(Catalogue!$B$2:$B$150,$A9,Catalogue!$M$2:$M$150,"P3")</f>
        <v>2</v>
      </c>
      <c r="E9" s="16" t="n">
        <f aca="false">SUM(B9:D9)</f>
        <v>24</v>
      </c>
    </row>
    <row r="10" customFormat="false" ht="15" hidden="false" customHeight="true" outlineLevel="0" collapsed="false">
      <c r="A10" s="16" t="s">
        <v>966</v>
      </c>
      <c r="B10" s="16" t="n">
        <f aca="false">COUNTIFS(Catalogue!$B$2:$B$150,$A10,Catalogue!$M$2:$M$150,"P1")</f>
        <v>4</v>
      </c>
      <c r="C10" s="16" t="n">
        <f aca="false">COUNTIFS(Catalogue!$B$2:$B$150,$A10,Catalogue!$M$2:$M$150,"P2")</f>
        <v>7</v>
      </c>
      <c r="D10" s="16" t="n">
        <f aca="false">COUNTIFS(Catalogue!$B$2:$B$150,$A10,Catalogue!$M$2:$M$150,"P3")</f>
        <v>0</v>
      </c>
      <c r="E10" s="16" t="n">
        <f aca="false">SUM(B10:D10)</f>
        <v>11</v>
      </c>
    </row>
    <row r="11" customFormat="false" ht="15" hidden="false" customHeight="true" outlineLevel="0" collapsed="false">
      <c r="A11" s="16" t="s">
        <v>1053</v>
      </c>
      <c r="B11" s="16" t="n">
        <f aca="false">COUNTIFS(Catalogue!$B$2:$B$150,$A11,Catalogue!$M$2:$M$150,"P1")</f>
        <v>8</v>
      </c>
      <c r="C11" s="16" t="n">
        <f aca="false">COUNTIFS(Catalogue!$B$2:$B$150,$A11,Catalogue!$M$2:$M$150,"P2")</f>
        <v>3</v>
      </c>
      <c r="D11" s="16" t="n">
        <f aca="false">COUNTIFS(Catalogue!$B$2:$B$150,$A11,Catalogue!$M$2:$M$150,"P3")</f>
        <v>0</v>
      </c>
      <c r="E11" s="16" t="n">
        <f aca="false">SUM(B11:D11)</f>
        <v>11</v>
      </c>
    </row>
    <row r="12" customFormat="false" ht="15" hidden="false" customHeight="true" outlineLevel="0" collapsed="false">
      <c r="A12" s="17" t="s">
        <v>1131</v>
      </c>
      <c r="B12" s="17" t="n">
        <f aca="false">SUM(B4:B11)</f>
        <v>77</v>
      </c>
      <c r="C12" s="17" t="n">
        <f aca="false">SUM(C4:C11)</f>
        <v>60</v>
      </c>
      <c r="D12" s="17" t="n">
        <f aca="false">SUM(D4:D11)</f>
        <v>12</v>
      </c>
      <c r="E12" s="17" t="n">
        <f aca="false">SUM(E4:E11)</f>
        <v>149</v>
      </c>
    </row>
    <row r="14" customFormat="false" ht="15" hidden="false" customHeight="true" outlineLevel="0" collapsed="false">
      <c r="A14" s="18" t="s">
        <v>1132</v>
      </c>
    </row>
    <row r="15" customFormat="false" ht="15" hidden="false" customHeight="true" outlineLevel="0" collapsed="false">
      <c r="A15" s="19" t="s">
        <v>22</v>
      </c>
      <c r="B15" s="19" t="s">
        <v>1133</v>
      </c>
    </row>
    <row r="16" customFormat="false" ht="15" hidden="false" customHeight="true" outlineLevel="0" collapsed="false">
      <c r="A16" s="16" t="s">
        <v>35</v>
      </c>
      <c r="B16" s="16" t="n">
        <f aca="false">COUNTIF(Catalogue!$E$2:$E$150,$A16)</f>
        <v>88</v>
      </c>
    </row>
    <row r="17" customFormat="false" ht="15" hidden="false" customHeight="true" outlineLevel="0" collapsed="false">
      <c r="A17" s="16" t="s">
        <v>107</v>
      </c>
      <c r="B17" s="16" t="n">
        <f aca="false">COUNTIF(Catalogue!$E$2:$E$150,$A17)</f>
        <v>11</v>
      </c>
    </row>
    <row r="18" customFormat="false" ht="15" hidden="false" customHeight="true" outlineLevel="0" collapsed="false">
      <c r="A18" s="16" t="s">
        <v>630</v>
      </c>
      <c r="B18" s="16" t="n">
        <f aca="false">COUNTIF(Catalogue!$E$2:$E$150,$A18)</f>
        <v>23</v>
      </c>
    </row>
    <row r="19" customFormat="false" ht="15" hidden="false" customHeight="true" outlineLevel="0" collapsed="false">
      <c r="A19" s="16" t="s">
        <v>364</v>
      </c>
      <c r="B19" s="16" t="n">
        <f aca="false">COUNTIF(Catalogue!$E$2:$E$150,$A19)</f>
        <v>25</v>
      </c>
    </row>
    <row r="20" customFormat="false" ht="15" hidden="false" customHeight="true" outlineLevel="0" collapsed="false">
      <c r="A20" s="16" t="s">
        <v>205</v>
      </c>
      <c r="B20" s="16" t="n">
        <f aca="false">COUNTIF(Catalogue!$E$2:$E$150,$A20)</f>
        <v>2</v>
      </c>
    </row>
    <row r="23" customFormat="false" ht="15" hidden="false" customHeight="true" outlineLevel="0" collapsed="false">
      <c r="A23" s="20" t="s">
        <v>1134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2026-08-15T12:38:30Z</dcterms:created>
  <dc:creator>openpyxl</dc:creator>
  <dc:description/>
  <dc:language>en-US</dc:language>
  <cp:lastModifiedBy/>
  <dcterms:modified xsi:type="dcterms:W3CDTF">2026-08-15T12:39:42Z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